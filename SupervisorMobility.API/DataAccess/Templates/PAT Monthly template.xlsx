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E:\job\Supervisor app\Server\SupervisorMobility.API\DataAccess\Templates\"/>
    </mc:Choice>
  </mc:AlternateContent>
  <xr:revisionPtr revIDLastSave="0" documentId="13_ncr:1_{DFA84F65-293C-4C60-9634-DC926A0F99A2}" xr6:coauthVersionLast="47" xr6:coauthVersionMax="47" xr10:uidLastSave="{00000000-0000-0000-0000-000000000000}"/>
  <bookViews>
    <workbookView xWindow="31470" yWindow="2715" windowWidth="20595" windowHeight="11760" xr2:uid="{31FF7CD3-8B33-42A0-BC2D-1E06DEEA0873}"/>
  </bookViews>
  <sheets>
    <sheet name="PAT Mensual 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 i="1" l="1"/>
  <c r="C39" i="1"/>
  <c r="CD5" i="1"/>
  <c r="I39" i="1"/>
  <c r="K39" i="1"/>
  <c r="K40" i="1"/>
  <c r="M40" i="1"/>
  <c r="O40" i="1"/>
  <c r="Q40" i="1"/>
  <c r="S40" i="1"/>
  <c r="U40" i="1"/>
  <c r="W40" i="1"/>
  <c r="Y40" i="1"/>
  <c r="AA40" i="1"/>
  <c r="AC40" i="1"/>
  <c r="AE40" i="1"/>
  <c r="AG40" i="1"/>
  <c r="AI40" i="1"/>
  <c r="AK40" i="1"/>
  <c r="AM40" i="1"/>
  <c r="AO40" i="1"/>
  <c r="AQ40" i="1"/>
  <c r="AS40" i="1"/>
  <c r="AU40" i="1"/>
  <c r="AW40" i="1"/>
  <c r="AY40" i="1"/>
  <c r="BA40" i="1"/>
  <c r="BC40" i="1"/>
  <c r="BE40" i="1"/>
  <c r="BG40" i="1"/>
  <c r="BI40" i="1"/>
  <c r="BK40" i="1"/>
  <c r="BM40" i="1"/>
  <c r="BO40" i="1"/>
  <c r="BQ40" i="1"/>
  <c r="BS40" i="1"/>
  <c r="BU40" i="1"/>
  <c r="BW40" i="1"/>
  <c r="BY40" i="1"/>
  <c r="I40" i="1"/>
  <c r="BY39" i="1"/>
  <c r="M39" i="1"/>
  <c r="O39" i="1"/>
  <c r="Q39" i="1"/>
  <c r="S39" i="1"/>
  <c r="U39" i="1"/>
  <c r="W39" i="1"/>
  <c r="Y39" i="1"/>
  <c r="AA39" i="1"/>
  <c r="AC39" i="1"/>
  <c r="AE39" i="1"/>
  <c r="AG39" i="1"/>
  <c r="AI39" i="1"/>
  <c r="AK39" i="1"/>
  <c r="AM39" i="1"/>
  <c r="AO39" i="1"/>
  <c r="AQ39" i="1"/>
  <c r="AS39" i="1"/>
  <c r="AU39" i="1"/>
  <c r="AW39" i="1"/>
  <c r="AY39" i="1"/>
  <c r="BA39" i="1"/>
  <c r="BC39" i="1"/>
  <c r="BE39" i="1"/>
  <c r="BG39" i="1"/>
  <c r="BI39" i="1"/>
  <c r="BK39" i="1"/>
  <c r="BM39" i="1"/>
  <c r="BO39" i="1"/>
  <c r="BQ39" i="1"/>
  <c r="BS39" i="1"/>
  <c r="BU39" i="1"/>
  <c r="BW39" i="1"/>
  <c r="CA38" i="1"/>
  <c r="CA14" i="1"/>
  <c r="CA15" i="1"/>
  <c r="CA16" i="1"/>
  <c r="CA17" i="1"/>
  <c r="CA18" i="1"/>
  <c r="CA19" i="1"/>
  <c r="CA20" i="1"/>
  <c r="CA21" i="1"/>
  <c r="CA22" i="1"/>
  <c r="CA23" i="1"/>
  <c r="CA24" i="1"/>
  <c r="CA25" i="1"/>
  <c r="CA26" i="1"/>
  <c r="CA27" i="1"/>
  <c r="CA28" i="1"/>
  <c r="CA29" i="1"/>
  <c r="CA30" i="1"/>
  <c r="CA31" i="1"/>
  <c r="CA32" i="1"/>
  <c r="CA33" i="1"/>
  <c r="CA34" i="1"/>
  <c r="CA35" i="1"/>
  <c r="CA36" i="1"/>
  <c r="CA37" i="1"/>
  <c r="CA13" i="1"/>
  <c r="CA12" i="1"/>
  <c r="F39" i="1"/>
  <c r="CA43" i="1" s="1"/>
  <c r="CA46" i="1" s="1"/>
  <c r="CA10" i="1"/>
  <c r="CA42" i="1" s="1"/>
  <c r="CA45" i="1" s="1"/>
  <c r="B7" i="1" l="1"/>
  <c r="B9" i="1"/>
  <c r="H39" i="1"/>
  <c r="CA11" i="1"/>
</calcChain>
</file>

<file path=xl/sharedStrings.xml><?xml version="1.0" encoding="utf-8"?>
<sst xmlns="http://schemas.openxmlformats.org/spreadsheetml/2006/main" count="126" uniqueCount="54">
  <si>
    <t>PLAN ANUAL DE ADIESTRAMIENTO TÉCNICO</t>
  </si>
  <si>
    <t>DEPARTAMENTO</t>
  </si>
  <si>
    <t>ÁREA DE TRABAJO</t>
  </si>
  <si>
    <t>GRUPO</t>
  </si>
  <si>
    <t>SV ELABORÓ</t>
  </si>
  <si>
    <t>SSV REVISÓ</t>
  </si>
  <si>
    <t>Fecha de Elaboración</t>
  </si>
  <si>
    <t>No DE PERSONAS</t>
  </si>
  <si>
    <t>ROR</t>
  </si>
  <si>
    <t>OPERADOR CONOCE OPERACIONES</t>
  </si>
  <si>
    <t xml:space="preserve">NOMBRE DE OPERADOR. </t>
  </si>
  <si>
    <t>%</t>
  </si>
  <si>
    <t>X</t>
  </si>
  <si>
    <t>OPERADORES CONOCEN MISMA OPERACIÓN</t>
  </si>
  <si>
    <t xml:space="preserve">NÚMERO DE NÓMINA </t>
  </si>
  <si>
    <t>NOTAS RELACIONADAS CON LAS OPERACIONES / DISTRIBUCIONES</t>
  </si>
  <si>
    <t>NOMBRE DE LA OPERACIÓN</t>
  </si>
  <si>
    <t>MES</t>
  </si>
  <si>
    <t>NIVEL</t>
  </si>
  <si>
    <t>L</t>
  </si>
  <si>
    <t>I</t>
  </si>
  <si>
    <t>U</t>
  </si>
  <si>
    <t>RTO</t>
  </si>
  <si>
    <t>Nivel de habilidad Tecnica</t>
  </si>
  <si>
    <t>Operaciones a Nivel L &amp; U por Operador</t>
  </si>
  <si>
    <t>Histórico año actual</t>
  </si>
  <si>
    <t>ENE</t>
  </si>
  <si>
    <t>FEB</t>
  </si>
  <si>
    <t>MAR</t>
  </si>
  <si>
    <t>ABR</t>
  </si>
  <si>
    <t>MAY</t>
  </si>
  <si>
    <t>JUN</t>
  </si>
  <si>
    <t>JUL</t>
  </si>
  <si>
    <t>AGO</t>
  </si>
  <si>
    <t>SEP</t>
  </si>
  <si>
    <t>OCT</t>
  </si>
  <si>
    <t>NOV</t>
  </si>
  <si>
    <t>DIC</t>
  </si>
  <si>
    <t>Nivel</t>
  </si>
  <si>
    <t>Críterio</t>
  </si>
  <si>
    <t>Puede hacerlo con ayuda</t>
  </si>
  <si>
    <t>Puede hacerlo por sí mismo</t>
  </si>
  <si>
    <t>Puede instruir a otros
(3 Eatapas de la enseñanza)</t>
  </si>
  <si>
    <t>Sin Simbolo</t>
  </si>
  <si>
    <t>Operario inexperto</t>
  </si>
  <si>
    <t>O</t>
  </si>
  <si>
    <t>Personal en periodo de capacitación</t>
  </si>
  <si>
    <t>HOJA</t>
  </si>
  <si>
    <t>EN</t>
  </si>
  <si>
    <t>No.</t>
  </si>
  <si>
    <t xml:space="preserve"> NOTAS 
RELACIONADAS CON LOS OPERADORES
(REPROGRAMACIÓN / VACACIONES / BAJAS / PLAN DE SUCESIÓN / LIBERACIONES)</t>
  </si>
  <si>
    <t>Operario titular</t>
  </si>
  <si>
    <t>MES DE APLICACIÓN</t>
  </si>
  <si>
    <t>Periodo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</si>
</sst>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 &quot;Operaciones&quot;"/>
    <numFmt numFmtId="165" formatCode="#\ &quot;Personas&quot;"/>
    <numFmt numFmtId="166" formatCode="0.0"/>
  </numFmts>
  <fonts count="19">
    <font>
      <sz val="11"/>
      <color theme="1"/>
      <name val="Aptos Narrow"/>
      <family val="2"/>
      <scheme val="minor"/>
    </font>
    <font>
      <sz val="10"/>
      <name val="Arial"/>
      <family val="2"/>
    </font>
    <font>
      <sz val="16"/>
      <color theme="1"/>
      <name val="Arial"/>
      <family val="2"/>
    </font>
    <font>
      <sz val="36"/>
      <color theme="1"/>
      <name val="Arial"/>
      <family val="2"/>
    </font>
    <font>
      <b/>
      <sz val="14"/>
      <color theme="1"/>
      <name val="Arial"/>
      <family val="2"/>
    </font>
    <font>
      <b/>
      <sz val="20"/>
      <color theme="1"/>
      <name val="Arial"/>
      <family val="2"/>
    </font>
    <font>
      <b/>
      <sz val="18"/>
      <color theme="1"/>
      <name val="Arial"/>
      <family val="2"/>
    </font>
    <font>
      <sz val="14"/>
      <color theme="1"/>
      <name val="Arial"/>
      <family val="2"/>
    </font>
    <font>
      <sz val="18"/>
      <color theme="1"/>
      <name val="Arial"/>
      <family val="2"/>
    </font>
    <font>
      <b/>
      <sz val="28"/>
      <color theme="1"/>
      <name val="Arial"/>
      <family val="2"/>
    </font>
    <font>
      <b/>
      <sz val="16"/>
      <color theme="1"/>
      <name val="Arial"/>
      <family val="2"/>
    </font>
    <font>
      <b/>
      <sz val="11"/>
      <color theme="1"/>
      <name val="Arial"/>
      <family val="2"/>
    </font>
    <font>
      <b/>
      <sz val="12"/>
      <color theme="1"/>
      <name val="Arial"/>
      <family val="2"/>
    </font>
    <font>
      <sz val="6"/>
      <color theme="1"/>
      <name val="Arial"/>
      <family val="2"/>
    </font>
    <font>
      <b/>
      <sz val="10"/>
      <color theme="1"/>
      <name val="Arial"/>
      <family val="2"/>
    </font>
    <font>
      <b/>
      <sz val="14"/>
      <color theme="1"/>
      <name val="Calibri"/>
      <family val="2"/>
    </font>
    <font>
      <b/>
      <sz val="22"/>
      <color theme="1"/>
      <name val="Arial"/>
      <family val="2"/>
    </font>
    <font>
      <sz val="9"/>
      <color theme="1"/>
      <name val="Arial"/>
      <family val="2"/>
    </font>
    <font>
      <b/>
      <sz val="36"/>
      <color theme="0"/>
      <name val="72 Light"/>
    </font>
  </fonts>
  <fills count="2">
    <fill>
      <patternFill patternType="none"/>
    </fill>
    <fill>
      <patternFill patternType="gray125"/>
    </fill>
  </fills>
  <borders count="6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diagonal/>
    </border>
    <border>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style="medium">
        <color indexed="64"/>
      </right>
      <top/>
      <bottom/>
      <diagonal/>
    </border>
    <border>
      <left style="medium">
        <color indexed="64"/>
      </left>
      <right/>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diagonalUp="1">
      <left style="medium">
        <color indexed="64"/>
      </left>
      <right/>
      <top style="medium">
        <color indexed="64"/>
      </top>
      <bottom/>
      <diagonal style="medium">
        <color indexed="64"/>
      </diagonal>
    </border>
    <border diagonalUp="1">
      <left/>
      <right/>
      <top style="medium">
        <color indexed="64"/>
      </top>
      <bottom/>
      <diagonal style="medium">
        <color indexed="64"/>
      </diagonal>
    </border>
    <border diagonalUp="1">
      <left/>
      <right style="medium">
        <color indexed="64"/>
      </right>
      <top style="medium">
        <color indexed="64"/>
      </top>
      <bottom/>
      <diagonal style="medium">
        <color indexed="64"/>
      </diagonal>
    </border>
    <border diagonalUp="1">
      <left style="medium">
        <color indexed="64"/>
      </left>
      <right/>
      <top/>
      <bottom style="medium">
        <color indexed="64"/>
      </bottom>
      <diagonal style="medium">
        <color indexed="64"/>
      </diagonal>
    </border>
    <border diagonalUp="1">
      <left/>
      <right/>
      <top/>
      <bottom style="medium">
        <color indexed="64"/>
      </bottom>
      <diagonal style="medium">
        <color indexed="64"/>
      </diagonal>
    </border>
    <border diagonalUp="1">
      <left/>
      <right style="medium">
        <color indexed="64"/>
      </right>
      <top/>
      <bottom style="medium">
        <color indexed="64"/>
      </bottom>
      <diagonal style="medium">
        <color indexed="64"/>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right/>
      <top style="thin">
        <color indexed="64"/>
      </top>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thin">
        <color indexed="64"/>
      </bottom>
      <diagonal/>
    </border>
    <border>
      <left style="thin">
        <color indexed="64"/>
      </left>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diagonal/>
    </border>
  </borders>
  <cellStyleXfs count="2">
    <xf numFmtId="0" fontId="0" fillId="0" borderId="0"/>
    <xf numFmtId="0" fontId="1" fillId="0" borderId="0"/>
  </cellStyleXfs>
  <cellXfs count="175">
    <xf numFmtId="0" fontId="0" fillId="0" borderId="0" xfId="0"/>
    <xf numFmtId="0" fontId="13" fillId="0" borderId="1" xfId="0" applyFont="1" applyBorder="1" applyAlignment="1">
      <alignment horizontal="center"/>
    </xf>
    <xf numFmtId="0" fontId="13" fillId="0" borderId="2" xfId="0" applyFont="1" applyBorder="1" applyAlignment="1">
      <alignment horizontal="center"/>
    </xf>
    <xf numFmtId="0" fontId="11" fillId="0" borderId="16" xfId="0" applyFont="1" applyBorder="1" applyAlignment="1">
      <alignment horizontal="center" vertical="center" wrapText="1"/>
    </xf>
    <xf numFmtId="0" fontId="6" fillId="0" borderId="0" xfId="0" applyFont="1" applyAlignment="1">
      <alignment horizontal="center" vertical="center"/>
    </xf>
    <xf numFmtId="0" fontId="11" fillId="0" borderId="15" xfId="0" applyFont="1" applyBorder="1" applyAlignment="1">
      <alignment horizontal="center" vertical="center" wrapText="1"/>
    </xf>
    <xf numFmtId="0" fontId="4" fillId="0" borderId="24" xfId="0" applyFont="1" applyBorder="1" applyAlignment="1">
      <alignment horizontal="center" vertical="center"/>
    </xf>
    <xf numFmtId="166" fontId="6" fillId="0" borderId="23" xfId="0" applyNumberFormat="1" applyFont="1" applyBorder="1" applyAlignment="1">
      <alignment horizontal="center" vertical="center"/>
    </xf>
    <xf numFmtId="0" fontId="0" fillId="0" borderId="36" xfId="0" applyBorder="1"/>
    <xf numFmtId="0" fontId="4" fillId="0" borderId="16" xfId="0" applyFont="1" applyBorder="1" applyAlignment="1">
      <alignment horizontal="center" vertical="center"/>
    </xf>
    <xf numFmtId="0" fontId="10" fillId="0" borderId="4" xfId="0" applyFont="1" applyBorder="1" applyAlignment="1">
      <alignment horizontal="center" textRotation="90"/>
    </xf>
    <xf numFmtId="0" fontId="6" fillId="0" borderId="17" xfId="0" applyFont="1" applyBorder="1" applyAlignment="1">
      <alignment horizontal="center" vertical="center"/>
    </xf>
    <xf numFmtId="0" fontId="10" fillId="0" borderId="28" xfId="0" applyFont="1" applyBorder="1" applyAlignment="1">
      <alignment horizontal="center" vertical="center" wrapText="1"/>
    </xf>
    <xf numFmtId="0" fontId="10" fillId="0" borderId="54" xfId="0" applyFont="1" applyBorder="1" applyAlignment="1">
      <alignment horizontal="center" vertical="center" wrapText="1"/>
    </xf>
    <xf numFmtId="0" fontId="10" fillId="0" borderId="55" xfId="0" applyFont="1" applyBorder="1" applyAlignment="1">
      <alignment horizontal="center" vertical="center" wrapText="1"/>
    </xf>
    <xf numFmtId="0" fontId="0" fillId="0" borderId="17" xfId="0" applyBorder="1"/>
    <xf numFmtId="0" fontId="0" fillId="0" borderId="19" xfId="0" applyBorder="1"/>
    <xf numFmtId="0" fontId="5" fillId="0" borderId="24" xfId="0" applyFont="1" applyBorder="1" applyAlignment="1">
      <alignment horizontal="right" vertical="center"/>
    </xf>
    <xf numFmtId="0" fontId="5" fillId="0" borderId="21" xfId="0" applyFont="1" applyBorder="1" applyAlignment="1">
      <alignment horizontal="left" vertical="center"/>
    </xf>
    <xf numFmtId="0" fontId="2" fillId="0" borderId="0" xfId="0" applyFont="1" applyAlignment="1">
      <alignment horizontal="center" vertical="center"/>
    </xf>
    <xf numFmtId="0" fontId="10" fillId="0" borderId="16" xfId="0" applyFont="1" applyBorder="1" applyAlignment="1">
      <alignment horizontal="center" vertical="center"/>
    </xf>
    <xf numFmtId="0" fontId="13" fillId="0" borderId="16" xfId="0" applyFont="1" applyBorder="1"/>
    <xf numFmtId="165" fontId="4" fillId="0" borderId="16" xfId="0" applyNumberFormat="1" applyFont="1" applyBorder="1" applyAlignment="1">
      <alignment horizontal="center" vertical="center"/>
    </xf>
    <xf numFmtId="0" fontId="12" fillId="0" borderId="26" xfId="0" applyFont="1" applyBorder="1" applyAlignment="1">
      <alignment horizontal="center" vertical="center"/>
    </xf>
    <xf numFmtId="0" fontId="12" fillId="0" borderId="16" xfId="0" applyFont="1" applyBorder="1" applyAlignment="1">
      <alignment horizontal="center" vertical="center"/>
    </xf>
    <xf numFmtId="0" fontId="12" fillId="0" borderId="16" xfId="0" applyFont="1" applyBorder="1" applyAlignment="1">
      <alignment vertical="center"/>
    </xf>
    <xf numFmtId="0" fontId="12" fillId="0" borderId="1" xfId="0" applyFont="1" applyBorder="1" applyAlignment="1">
      <alignment horizontal="center" vertical="center"/>
    </xf>
    <xf numFmtId="0" fontId="6" fillId="0" borderId="36" xfId="0" applyFont="1" applyBorder="1" applyAlignment="1">
      <alignment horizontal="center" vertical="center"/>
    </xf>
    <xf numFmtId="0" fontId="6" fillId="0" borderId="58" xfId="0" applyFont="1" applyBorder="1" applyAlignment="1">
      <alignment horizontal="center" vertical="center"/>
    </xf>
    <xf numFmtId="0" fontId="6" fillId="0" borderId="10" xfId="0" applyFont="1" applyBorder="1" applyAlignment="1">
      <alignment horizontal="center" vertical="center"/>
    </xf>
    <xf numFmtId="0" fontId="6" fillId="0" borderId="48" xfId="0" applyFont="1" applyBorder="1" applyAlignment="1">
      <alignment horizontal="center" vertical="center"/>
    </xf>
    <xf numFmtId="0" fontId="6" fillId="0" borderId="7" xfId="0" applyFont="1" applyBorder="1" applyAlignment="1">
      <alignment horizontal="center" vertical="center"/>
    </xf>
    <xf numFmtId="0" fontId="6" fillId="0" borderId="59" xfId="0" applyFont="1" applyBorder="1" applyAlignment="1">
      <alignment horizontal="center" vertical="center"/>
    </xf>
    <xf numFmtId="0" fontId="6" fillId="0" borderId="60" xfId="0" applyFont="1" applyBorder="1" applyAlignment="1">
      <alignment horizontal="center" vertical="center"/>
    </xf>
    <xf numFmtId="0" fontId="6" fillId="0" borderId="31" xfId="0" applyFont="1" applyBorder="1" applyAlignment="1">
      <alignment horizontal="center" vertical="center"/>
    </xf>
    <xf numFmtId="0" fontId="6" fillId="0" borderId="53" xfId="0" applyFont="1" applyBorder="1" applyAlignment="1">
      <alignment horizontal="center" vertical="center"/>
    </xf>
    <xf numFmtId="0" fontId="6" fillId="0" borderId="56" xfId="0" applyFont="1" applyBorder="1" applyAlignment="1">
      <alignment horizontal="center" vertical="center"/>
    </xf>
    <xf numFmtId="0" fontId="6" fillId="0" borderId="52" xfId="0" applyFont="1" applyBorder="1" applyAlignment="1">
      <alignment horizontal="center" vertical="center"/>
    </xf>
    <xf numFmtId="0" fontId="6" fillId="0" borderId="9" xfId="0" applyFont="1" applyBorder="1" applyAlignment="1">
      <alignment horizontal="center" vertical="center"/>
    </xf>
    <xf numFmtId="0" fontId="6" fillId="0" borderId="29" xfId="0" applyFont="1" applyBorder="1" applyAlignment="1">
      <alignment horizontal="center" vertical="center"/>
    </xf>
    <xf numFmtId="0" fontId="18" fillId="0" borderId="17" xfId="0" applyFont="1" applyBorder="1" applyAlignment="1">
      <alignment horizontal="left"/>
    </xf>
    <xf numFmtId="0" fontId="18" fillId="0" borderId="30" xfId="0" applyFont="1" applyBorder="1" applyAlignment="1">
      <alignment horizontal="left"/>
    </xf>
    <xf numFmtId="0" fontId="4" fillId="0" borderId="27" xfId="0" applyFont="1" applyBorder="1" applyAlignment="1">
      <alignment horizontal="center" textRotation="90"/>
    </xf>
    <xf numFmtId="0" fontId="4" fillId="0" borderId="23" xfId="0" applyFont="1" applyBorder="1" applyAlignment="1">
      <alignment horizontal="left" vertical="center"/>
    </xf>
    <xf numFmtId="0" fontId="4" fillId="0" borderId="24" xfId="0" applyFont="1" applyBorder="1" applyAlignment="1">
      <alignment horizontal="left" vertical="center"/>
    </xf>
    <xf numFmtId="0" fontId="4" fillId="0" borderId="21" xfId="0" applyFont="1" applyBorder="1" applyAlignment="1">
      <alignment horizontal="left" vertical="center"/>
    </xf>
    <xf numFmtId="0" fontId="4" fillId="0" borderId="36" xfId="0" applyFont="1" applyBorder="1" applyAlignment="1">
      <alignment horizontal="left" vertical="center"/>
    </xf>
    <xf numFmtId="0" fontId="4" fillId="0" borderId="37" xfId="0" applyFont="1" applyBorder="1" applyAlignment="1">
      <alignment horizontal="left" vertical="center"/>
    </xf>
    <xf numFmtId="0" fontId="4" fillId="0" borderId="38" xfId="0" applyFont="1" applyBorder="1" applyAlignment="1">
      <alignment horizontal="left" vertical="center"/>
    </xf>
    <xf numFmtId="0" fontId="5" fillId="0" borderId="36" xfId="0" applyFont="1" applyBorder="1" applyAlignment="1">
      <alignment horizontal="center" vertical="center"/>
    </xf>
    <xf numFmtId="0" fontId="5" fillId="0" borderId="37" xfId="0" applyFont="1" applyBorder="1" applyAlignment="1">
      <alignment horizontal="center" vertical="center"/>
    </xf>
    <xf numFmtId="0" fontId="5" fillId="0" borderId="53" xfId="0" applyFont="1" applyBorder="1" applyAlignment="1">
      <alignment horizontal="center" vertical="center"/>
    </xf>
    <xf numFmtId="0" fontId="6" fillId="0" borderId="1" xfId="0" applyFont="1" applyBorder="1" applyAlignment="1">
      <alignment horizontal="center" vertical="center"/>
    </xf>
    <xf numFmtId="0" fontId="6" fillId="0" borderId="4" xfId="0" applyFont="1" applyBorder="1" applyAlignment="1">
      <alignment horizontal="center" vertical="center"/>
    </xf>
    <xf numFmtId="0" fontId="6" fillId="0" borderId="23" xfId="0" applyFont="1" applyBorder="1" applyAlignment="1">
      <alignment horizontal="center" vertical="center"/>
    </xf>
    <xf numFmtId="0" fontId="6" fillId="0" borderId="24" xfId="0" applyFont="1" applyBorder="1" applyAlignment="1">
      <alignment horizontal="center" vertical="center"/>
    </xf>
    <xf numFmtId="0" fontId="6" fillId="0" borderId="21" xfId="0" applyFont="1" applyBorder="1" applyAlignment="1">
      <alignment horizontal="center" vertical="center"/>
    </xf>
    <xf numFmtId="0" fontId="4" fillId="0" borderId="48" xfId="0" applyFont="1" applyBorder="1" applyAlignment="1">
      <alignment horizontal="left" vertical="center"/>
    </xf>
    <xf numFmtId="0" fontId="12" fillId="0" borderId="23" xfId="0" applyFont="1" applyBorder="1" applyAlignment="1">
      <alignment horizontal="center" vertical="center"/>
    </xf>
    <xf numFmtId="0" fontId="12" fillId="0" borderId="24" xfId="0" applyFont="1" applyBorder="1" applyAlignment="1">
      <alignment horizontal="center" vertical="center"/>
    </xf>
    <xf numFmtId="0" fontId="12" fillId="0" borderId="46" xfId="0" applyFont="1" applyBorder="1" applyAlignment="1">
      <alignment horizontal="center" vertical="center"/>
    </xf>
    <xf numFmtId="0" fontId="4" fillId="0" borderId="47" xfId="0" applyFont="1" applyBorder="1" applyAlignment="1">
      <alignment horizontal="left" vertical="center"/>
    </xf>
    <xf numFmtId="0" fontId="5" fillId="0" borderId="20" xfId="0" applyFont="1" applyBorder="1" applyAlignment="1">
      <alignment horizontal="center" vertical="center"/>
    </xf>
    <xf numFmtId="0" fontId="5" fillId="0" borderId="33" xfId="0" applyFont="1" applyBorder="1" applyAlignment="1">
      <alignment horizontal="center" vertical="center"/>
    </xf>
    <xf numFmtId="0" fontId="4" fillId="0" borderId="57" xfId="0" applyFont="1" applyBorder="1" applyAlignment="1">
      <alignment horizontal="left" vertical="center"/>
    </xf>
    <xf numFmtId="0" fontId="4" fillId="0" borderId="33" xfId="0" applyFont="1" applyBorder="1" applyAlignment="1">
      <alignment horizontal="left" vertical="center"/>
    </xf>
    <xf numFmtId="0" fontId="4" fillId="0" borderId="34" xfId="0" applyFont="1" applyBorder="1" applyAlignment="1">
      <alignment horizontal="left" vertical="center"/>
    </xf>
    <xf numFmtId="0" fontId="3" fillId="0" borderId="14" xfId="0" applyFont="1" applyBorder="1" applyAlignment="1">
      <alignment horizontal="center" textRotation="90"/>
    </xf>
    <xf numFmtId="0" fontId="3" fillId="0" borderId="19" xfId="0" applyFont="1" applyBorder="1" applyAlignment="1">
      <alignment horizontal="center" textRotation="90"/>
    </xf>
    <xf numFmtId="0" fontId="3" fillId="0" borderId="11" xfId="0" applyFont="1" applyBorder="1" applyAlignment="1">
      <alignment horizontal="center" textRotation="90"/>
    </xf>
    <xf numFmtId="0" fontId="3" fillId="0" borderId="13" xfId="0" applyFont="1" applyBorder="1" applyAlignment="1">
      <alignment horizontal="center" textRotation="90"/>
    </xf>
    <xf numFmtId="0" fontId="4" fillId="0" borderId="18" xfId="0" applyFont="1" applyBorder="1" applyAlignment="1">
      <alignment horizontal="left" vertical="center"/>
    </xf>
    <xf numFmtId="0" fontId="4" fillId="0" borderId="8" xfId="0" applyFont="1" applyBorder="1" applyAlignment="1">
      <alignment horizontal="left" vertical="center"/>
    </xf>
    <xf numFmtId="0" fontId="4" fillId="0" borderId="32" xfId="0" applyFont="1" applyBorder="1" applyAlignment="1">
      <alignment horizontal="left" vertical="center"/>
    </xf>
    <xf numFmtId="0" fontId="4" fillId="0" borderId="47" xfId="0" applyFont="1" applyBorder="1" applyAlignment="1">
      <alignment horizontal="left" vertical="center" wrapText="1"/>
    </xf>
    <xf numFmtId="0" fontId="4" fillId="0" borderId="24" xfId="0" applyFont="1" applyBorder="1" applyAlignment="1">
      <alignment horizontal="left" vertical="center" wrapText="1"/>
    </xf>
    <xf numFmtId="0" fontId="4" fillId="0" borderId="21" xfId="0" applyFont="1" applyBorder="1" applyAlignment="1">
      <alignment horizontal="left" vertical="center" wrapText="1"/>
    </xf>
    <xf numFmtId="0" fontId="7" fillId="0" borderId="49" xfId="0" applyFont="1" applyBorder="1" applyAlignment="1">
      <alignment horizontal="center" textRotation="90" wrapText="1"/>
    </xf>
    <xf numFmtId="0" fontId="7" fillId="0" borderId="50" xfId="0" applyFont="1" applyBorder="1" applyAlignment="1">
      <alignment horizontal="center" textRotation="90" wrapText="1"/>
    </xf>
    <xf numFmtId="0" fontId="7" fillId="0" borderId="14" xfId="0" applyFont="1" applyBorder="1" applyAlignment="1">
      <alignment horizontal="center" textRotation="90" wrapText="1"/>
    </xf>
    <xf numFmtId="0" fontId="7" fillId="0" borderId="19" xfId="0" applyFont="1" applyBorder="1" applyAlignment="1">
      <alignment horizontal="center" textRotation="90" wrapText="1"/>
    </xf>
    <xf numFmtId="0" fontId="5" fillId="0" borderId="6" xfId="0" applyFont="1" applyBorder="1" applyAlignment="1">
      <alignment horizontal="center" vertical="center"/>
    </xf>
    <xf numFmtId="0" fontId="5" fillId="0" borderId="5" xfId="0" applyFont="1" applyBorder="1" applyAlignment="1">
      <alignment horizontal="center" vertical="center"/>
    </xf>
    <xf numFmtId="0" fontId="6" fillId="0" borderId="26" xfId="0" applyFont="1" applyBorder="1" applyAlignment="1">
      <alignment horizontal="center" vertical="center"/>
    </xf>
    <xf numFmtId="0" fontId="6" fillId="0" borderId="3" xfId="0" applyFont="1" applyBorder="1" applyAlignment="1">
      <alignment horizontal="center" vertical="center"/>
    </xf>
    <xf numFmtId="0" fontId="10" fillId="0" borderId="1" xfId="0" applyFont="1" applyBorder="1" applyAlignment="1">
      <alignment horizontal="center" vertical="center"/>
    </xf>
    <xf numFmtId="0" fontId="10" fillId="0" borderId="2" xfId="0" applyFont="1" applyBorder="1" applyAlignment="1">
      <alignment horizontal="center" vertical="center"/>
    </xf>
    <xf numFmtId="0" fontId="10" fillId="0" borderId="4" xfId="0" applyFont="1" applyBorder="1" applyAlignment="1">
      <alignment horizontal="center" vertical="center"/>
    </xf>
    <xf numFmtId="164" fontId="14" fillId="0" borderId="11" xfId="0" applyNumberFormat="1" applyFont="1" applyBorder="1" applyAlignment="1">
      <alignment horizontal="center" vertical="center"/>
    </xf>
    <xf numFmtId="164" fontId="14" fillId="0" borderId="12" xfId="0" applyNumberFormat="1" applyFont="1" applyBorder="1" applyAlignment="1">
      <alignment horizontal="center" vertical="center"/>
    </xf>
    <xf numFmtId="164" fontId="14" fillId="0" borderId="13" xfId="0" applyNumberFormat="1" applyFont="1" applyBorder="1" applyAlignment="1">
      <alignment horizontal="center" vertical="center"/>
    </xf>
    <xf numFmtId="0" fontId="6" fillId="0" borderId="17"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32" xfId="0" applyFont="1" applyBorder="1" applyAlignment="1">
      <alignment horizontal="center" vertical="center"/>
    </xf>
    <xf numFmtId="0" fontId="5" fillId="0" borderId="45" xfId="0" applyFont="1" applyBorder="1" applyAlignment="1">
      <alignment horizontal="center" vertical="center"/>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5" fillId="0" borderId="46" xfId="0" applyFont="1" applyBorder="1" applyAlignment="1">
      <alignment horizontal="center" vertical="center"/>
    </xf>
    <xf numFmtId="0" fontId="4" fillId="0" borderId="0" xfId="0" applyFont="1" applyAlignment="1">
      <alignment horizontal="left" vertical="center"/>
    </xf>
    <xf numFmtId="0" fontId="4" fillId="0" borderId="19" xfId="0" applyFont="1" applyBorder="1" applyAlignment="1">
      <alignment horizontal="left" vertic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12" fillId="0" borderId="1" xfId="0" applyFont="1" applyBorder="1" applyAlignment="1">
      <alignment horizontal="center" vertical="center"/>
    </xf>
    <xf numFmtId="0" fontId="12" fillId="0" borderId="2" xfId="0" applyFont="1" applyBorder="1" applyAlignment="1">
      <alignment horizontal="center" vertical="center"/>
    </xf>
    <xf numFmtId="0" fontId="12" fillId="0" borderId="4" xfId="0" applyFont="1" applyBorder="1" applyAlignment="1">
      <alignment horizontal="center" vertical="center"/>
    </xf>
    <xf numFmtId="0" fontId="5" fillId="0" borderId="18" xfId="0" applyFont="1" applyBorder="1" applyAlignment="1">
      <alignment horizontal="center" vertical="center"/>
    </xf>
    <xf numFmtId="0" fontId="16" fillId="0" borderId="49" xfId="0" applyFont="1" applyBorder="1" applyAlignment="1">
      <alignment horizontal="center" vertical="center" wrapText="1"/>
    </xf>
    <xf numFmtId="0" fontId="16" fillId="0" borderId="51" xfId="0" applyFont="1" applyBorder="1" applyAlignment="1">
      <alignment horizontal="center" vertical="center" wrapText="1"/>
    </xf>
    <xf numFmtId="0" fontId="16" fillId="0" borderId="50" xfId="0" applyFont="1" applyBorder="1" applyAlignment="1">
      <alignment horizontal="center" vertical="center" wrapText="1"/>
    </xf>
    <xf numFmtId="0" fontId="16" fillId="0" borderId="14" xfId="0" applyFont="1" applyBorder="1" applyAlignment="1">
      <alignment horizontal="center" vertical="center" wrapText="1"/>
    </xf>
    <xf numFmtId="0" fontId="16" fillId="0" borderId="0" xfId="0" applyFont="1" applyAlignment="1">
      <alignment horizontal="center" vertical="center" wrapText="1"/>
    </xf>
    <xf numFmtId="0" fontId="16" fillId="0" borderId="19" xfId="0" applyFont="1" applyBorder="1" applyAlignment="1">
      <alignment horizontal="center" vertical="center" wrapText="1"/>
    </xf>
    <xf numFmtId="0" fontId="16" fillId="0" borderId="11" xfId="0" applyFont="1" applyBorder="1" applyAlignment="1">
      <alignment horizontal="center" vertical="center" wrapText="1"/>
    </xf>
    <xf numFmtId="0" fontId="16" fillId="0" borderId="12" xfId="0" applyFont="1" applyBorder="1" applyAlignment="1">
      <alignment horizontal="center" vertical="center" wrapText="1"/>
    </xf>
    <xf numFmtId="0" fontId="16" fillId="0" borderId="13" xfId="0" applyFont="1" applyBorder="1" applyAlignment="1">
      <alignment horizontal="center" vertical="center" wrapText="1"/>
    </xf>
    <xf numFmtId="0" fontId="8" fillId="0" borderId="26"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20" xfId="0" applyFont="1" applyBorder="1" applyAlignment="1">
      <alignment horizontal="center" vertical="center" wrapText="1"/>
    </xf>
    <xf numFmtId="0" fontId="8" fillId="0" borderId="34" xfId="0" applyFont="1" applyBorder="1" applyAlignment="1">
      <alignment horizontal="center" vertical="center" wrapText="1"/>
    </xf>
    <xf numFmtId="0" fontId="17" fillId="0" borderId="39" xfId="0" applyFont="1" applyBorder="1" applyAlignment="1">
      <alignment horizontal="center"/>
    </xf>
    <xf numFmtId="0" fontId="17" fillId="0" borderId="40" xfId="0" applyFont="1" applyBorder="1" applyAlignment="1">
      <alignment horizontal="center"/>
    </xf>
    <xf numFmtId="0" fontId="17" fillId="0" borderId="41" xfId="0" applyFont="1" applyBorder="1" applyAlignment="1">
      <alignment horizontal="center"/>
    </xf>
    <xf numFmtId="0" fontId="17" fillId="0" borderId="42" xfId="0" applyFont="1" applyBorder="1" applyAlignment="1">
      <alignment horizontal="center"/>
    </xf>
    <xf numFmtId="0" fontId="17" fillId="0" borderId="43" xfId="0" applyFont="1" applyBorder="1" applyAlignment="1">
      <alignment horizontal="center"/>
    </xf>
    <xf numFmtId="0" fontId="17" fillId="0" borderId="44" xfId="0" applyFont="1" applyBorder="1" applyAlignment="1">
      <alignment horizontal="center"/>
    </xf>
    <xf numFmtId="0" fontId="4" fillId="0" borderId="26" xfId="0" applyFont="1" applyBorder="1" applyAlignment="1">
      <alignment horizontal="right" vertical="center" wrapText="1"/>
    </xf>
    <xf numFmtId="0" fontId="4" fillId="0" borderId="3" xfId="0" applyFont="1" applyBorder="1" applyAlignment="1">
      <alignment horizontal="right" vertical="center" wrapText="1"/>
    </xf>
    <xf numFmtId="0" fontId="4" fillId="0" borderId="17" xfId="0" applyFont="1" applyBorder="1" applyAlignment="1">
      <alignment horizontal="right" vertical="center" wrapText="1"/>
    </xf>
    <xf numFmtId="0" fontId="4" fillId="0" borderId="20" xfId="0" applyFont="1" applyBorder="1" applyAlignment="1">
      <alignment horizontal="right" vertical="center" wrapText="1"/>
    </xf>
    <xf numFmtId="0" fontId="4" fillId="0" borderId="33" xfId="0" applyFont="1" applyBorder="1" applyAlignment="1">
      <alignment horizontal="right" vertical="center" wrapText="1"/>
    </xf>
    <xf numFmtId="0" fontId="4" fillId="0" borderId="34" xfId="0" applyFont="1" applyBorder="1" applyAlignment="1">
      <alignment horizontal="right" vertical="center" wrapText="1"/>
    </xf>
    <xf numFmtId="0" fontId="15" fillId="0" borderId="36" xfId="0" applyFont="1" applyBorder="1" applyAlignment="1">
      <alignment horizontal="left" vertical="center" wrapText="1"/>
    </xf>
    <xf numFmtId="0" fontId="15" fillId="0" borderId="37" xfId="0" applyFont="1" applyBorder="1" applyAlignment="1">
      <alignment horizontal="left" vertical="center" wrapText="1"/>
    </xf>
    <xf numFmtId="0" fontId="15" fillId="0" borderId="38" xfId="0" applyFont="1" applyBorder="1" applyAlignment="1">
      <alignment horizontal="left" vertical="center" wrapText="1"/>
    </xf>
    <xf numFmtId="0" fontId="6" fillId="0" borderId="2" xfId="0" applyFont="1" applyBorder="1" applyAlignment="1">
      <alignment horizontal="center" vertical="center"/>
    </xf>
    <xf numFmtId="0" fontId="15" fillId="0" borderId="23" xfId="0" applyFont="1" applyBorder="1" applyAlignment="1">
      <alignment horizontal="left" vertical="center" wrapText="1"/>
    </xf>
    <xf numFmtId="0" fontId="15" fillId="0" borderId="24" xfId="0" applyFont="1" applyBorder="1" applyAlignment="1">
      <alignment horizontal="left" vertical="center" wrapText="1"/>
    </xf>
    <xf numFmtId="0" fontId="15" fillId="0" borderId="21" xfId="0" applyFont="1" applyBorder="1" applyAlignment="1">
      <alignment horizontal="left" vertical="center" wrapText="1"/>
    </xf>
    <xf numFmtId="0" fontId="15" fillId="0" borderId="18" xfId="0" applyFont="1" applyBorder="1" applyAlignment="1">
      <alignment horizontal="left" vertical="center" wrapText="1"/>
    </xf>
    <xf numFmtId="0" fontId="15" fillId="0" borderId="8" xfId="0" applyFont="1" applyBorder="1" applyAlignment="1">
      <alignment horizontal="left" vertical="center" wrapText="1"/>
    </xf>
    <xf numFmtId="0" fontId="15" fillId="0" borderId="32" xfId="0" applyFont="1" applyBorder="1" applyAlignment="1">
      <alignment horizontal="left" vertical="center" wrapText="1"/>
    </xf>
    <xf numFmtId="0" fontId="10" fillId="0" borderId="26"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11" xfId="0" applyFont="1" applyBorder="1" applyAlignment="1">
      <alignment horizontal="center" vertical="center" wrapText="1"/>
    </xf>
    <xf numFmtId="0" fontId="10" fillId="0" borderId="12" xfId="0" applyFont="1" applyBorder="1" applyAlignment="1">
      <alignment horizontal="center" vertical="center" wrapText="1"/>
    </xf>
    <xf numFmtId="0" fontId="10" fillId="0" borderId="13" xfId="0" applyFont="1" applyBorder="1" applyAlignment="1">
      <alignment horizontal="center" vertical="center" wrapText="1"/>
    </xf>
    <xf numFmtId="0" fontId="4" fillId="0" borderId="26"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4" xfId="0" applyFont="1" applyBorder="1" applyAlignment="1">
      <alignment horizontal="center" vertical="center" wrapText="1"/>
    </xf>
    <xf numFmtId="0" fontId="4" fillId="0" borderId="19"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13" xfId="0" applyFont="1" applyBorder="1" applyAlignment="1">
      <alignment horizontal="center" vertical="center" wrapText="1"/>
    </xf>
    <xf numFmtId="0" fontId="14" fillId="0" borderId="23" xfId="0" applyFont="1" applyBorder="1" applyAlignment="1">
      <alignment horizontal="center" vertical="center"/>
    </xf>
    <xf numFmtId="0" fontId="14" fillId="0" borderId="24" xfId="0" applyFont="1" applyBorder="1" applyAlignment="1">
      <alignment horizontal="center" vertical="center"/>
    </xf>
    <xf numFmtId="0" fontId="14" fillId="0" borderId="21" xfId="0" applyFont="1" applyBorder="1" applyAlignment="1">
      <alignment horizontal="center" vertical="center"/>
    </xf>
    <xf numFmtId="0" fontId="11" fillId="0" borderId="18" xfId="0" applyFont="1" applyBorder="1" applyAlignment="1">
      <alignment horizontal="center" vertical="center"/>
    </xf>
    <xf numFmtId="0" fontId="11" fillId="0" borderId="8" xfId="0" applyFont="1" applyBorder="1" applyAlignment="1">
      <alignment horizontal="center" vertical="center"/>
    </xf>
    <xf numFmtId="0" fontId="11" fillId="0" borderId="32" xfId="0" applyFont="1" applyBorder="1" applyAlignment="1">
      <alignment horizontal="center" vertical="center"/>
    </xf>
    <xf numFmtId="0" fontId="11" fillId="0" borderId="15"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25" xfId="0" applyFont="1" applyBorder="1" applyAlignment="1">
      <alignment horizontal="center" vertical="center" wrapText="1"/>
    </xf>
    <xf numFmtId="0" fontId="10" fillId="0" borderId="1" xfId="0" applyFont="1" applyBorder="1" applyAlignment="1">
      <alignment vertical="center"/>
    </xf>
    <xf numFmtId="0" fontId="10" fillId="0" borderId="4" xfId="0" applyFont="1" applyBorder="1" applyAlignment="1">
      <alignment vertical="center"/>
    </xf>
    <xf numFmtId="0" fontId="5" fillId="0" borderId="2" xfId="0" applyFont="1" applyBorder="1" applyAlignment="1">
      <alignment horizontal="center" vertical="center"/>
    </xf>
    <xf numFmtId="0" fontId="5" fillId="0" borderId="1" xfId="0" applyFont="1" applyBorder="1" applyAlignment="1">
      <alignment horizontal="center" vertical="center"/>
    </xf>
    <xf numFmtId="0" fontId="9" fillId="0" borderId="1" xfId="0" applyFont="1" applyBorder="1" applyAlignment="1">
      <alignment horizontal="center" vertical="center"/>
    </xf>
    <xf numFmtId="0" fontId="9" fillId="0" borderId="2" xfId="0" applyFont="1" applyBorder="1" applyAlignment="1">
      <alignment horizontal="center" vertical="center"/>
    </xf>
    <xf numFmtId="0" fontId="9" fillId="0" borderId="4" xfId="0" applyFont="1" applyBorder="1" applyAlignment="1">
      <alignment horizontal="center" vertical="center"/>
    </xf>
    <xf numFmtId="0" fontId="10" fillId="0" borderId="5" xfId="0" applyFont="1" applyBorder="1" applyAlignment="1">
      <alignment horizontal="center" vertical="center"/>
    </xf>
    <xf numFmtId="0" fontId="10" fillId="0" borderId="6" xfId="0" applyFont="1" applyBorder="1" applyAlignment="1">
      <alignment horizontal="center" vertical="center"/>
    </xf>
    <xf numFmtId="0" fontId="11" fillId="0" borderId="61" xfId="0" applyFont="1" applyBorder="1" applyAlignment="1">
      <alignment horizontal="center" vertical="center" wrapText="1"/>
    </xf>
    <xf numFmtId="0" fontId="11" fillId="0" borderId="35" xfId="0" applyFont="1" applyBorder="1" applyAlignment="1">
      <alignment horizontal="center" vertical="center" wrapText="1"/>
    </xf>
  </cellXfs>
  <cellStyles count="2">
    <cellStyle name="Normal" xfId="0" builtinId="0"/>
    <cellStyle name="Normal 2" xfId="1" xr:uid="{E18EF0A4-F52A-425C-A18B-B956A8904BAE}"/>
  </cellStyles>
  <dxfs count="5">
    <dxf>
      <font>
        <color rgb="FFFF0000"/>
      </font>
      <fill>
        <patternFill patternType="none">
          <bgColor auto="1"/>
        </patternFill>
      </fill>
    </dxf>
    <dxf>
      <font>
        <color rgb="FFFF0000"/>
      </font>
    </dxf>
    <dxf>
      <font>
        <b/>
        <i val="0"/>
      </font>
      <fill>
        <patternFill>
          <bgColor theme="0" tint="-4.9989318521683403E-2"/>
        </patternFill>
      </fill>
    </dxf>
    <dxf>
      <font>
        <b/>
        <i val="0"/>
      </font>
      <fill>
        <patternFill>
          <bgColor theme="2" tint="-9.9948118533890809E-2"/>
        </patternFill>
      </fill>
    </dxf>
    <dxf>
      <font>
        <b/>
        <i val="0"/>
      </font>
      <fill>
        <patternFill>
          <bgColor theme="0" tint="-4.9989318521683403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80</xdr:col>
      <xdr:colOff>45720</xdr:colOff>
      <xdr:row>52</xdr:row>
      <xdr:rowOff>93345</xdr:rowOff>
    </xdr:from>
    <xdr:to>
      <xdr:col>80</xdr:col>
      <xdr:colOff>417194</xdr:colOff>
      <xdr:row>52</xdr:row>
      <xdr:rowOff>382905</xdr:rowOff>
    </xdr:to>
    <xdr:sp macro="" textlink="">
      <xdr:nvSpPr>
        <xdr:cNvPr id="3" name="Isosceles Triangle 1">
          <a:extLst>
            <a:ext uri="{FF2B5EF4-FFF2-40B4-BE49-F238E27FC236}">
              <a16:creationId xmlns:a16="http://schemas.microsoft.com/office/drawing/2014/main" id="{2D2D2D5C-D88E-4A5D-90F1-6CD5D5DE38A3}"/>
            </a:ext>
          </a:extLst>
        </xdr:cNvPr>
        <xdr:cNvSpPr>
          <a:spLocks noChangeArrowheads="1"/>
        </xdr:cNvSpPr>
      </xdr:nvSpPr>
      <xdr:spPr bwMode="auto">
        <a:xfrm>
          <a:off x="39069645" y="27572970"/>
          <a:ext cx="371474" cy="289560"/>
        </a:xfrm>
        <a:prstGeom prst="triangle">
          <a:avLst>
            <a:gd name="adj" fmla="val 50000"/>
          </a:avLst>
        </a:prstGeom>
        <a:solidFill>
          <a:srgbClr val="FFFFFF"/>
        </a:solidFill>
        <a:ln w="19050" algn="ctr">
          <a:solidFill>
            <a:srgbClr val="000000"/>
          </a:solidFill>
          <a:round/>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69718-E887-4A87-9EC5-5F34E7D4BF5F}">
  <sheetPr>
    <pageSetUpPr autoPageBreaks="0"/>
  </sheetPr>
  <dimension ref="B1:CI53"/>
  <sheetViews>
    <sheetView tabSelected="1" topLeftCell="AD35" zoomScale="50" zoomScaleNormal="50" workbookViewId="0">
      <selection activeCell="BY38" sqref="BY38"/>
    </sheetView>
  </sheetViews>
  <sheetFormatPr defaultRowHeight="14.4"/>
  <cols>
    <col min="1" max="1" width="1.33203125" customWidth="1"/>
    <col min="2" max="2" width="17.5546875" customWidth="1"/>
    <col min="3" max="3" width="7.109375" customWidth="1"/>
    <col min="4" max="7" width="8" customWidth="1"/>
    <col min="8" max="8" width="18.6640625" customWidth="1"/>
    <col min="9" max="78" width="7" customWidth="1"/>
    <col min="79" max="80" width="3" customWidth="1"/>
    <col min="81" max="81" width="12.5546875" customWidth="1"/>
    <col min="82" max="87" width="9.6640625" customWidth="1"/>
    <col min="88" max="88" width="1.33203125" customWidth="1"/>
  </cols>
  <sheetData>
    <row r="1" spans="2:87" ht="37.950000000000003" customHeight="1" thickBot="1"/>
    <row r="2" spans="2:87" ht="36.6" customHeight="1" thickBot="1">
      <c r="B2" s="168" t="s">
        <v>0</v>
      </c>
      <c r="C2" s="169"/>
      <c r="D2" s="169"/>
      <c r="E2" s="169"/>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c r="AH2" s="169"/>
      <c r="AI2" s="169"/>
      <c r="AJ2" s="169"/>
      <c r="AK2" s="169"/>
      <c r="AL2" s="169"/>
      <c r="AM2" s="169"/>
      <c r="AN2" s="169"/>
      <c r="AO2" s="169"/>
      <c r="AP2" s="169"/>
      <c r="AQ2" s="169"/>
      <c r="AR2" s="169"/>
      <c r="AS2" s="169"/>
      <c r="AT2" s="169"/>
      <c r="AU2" s="169"/>
      <c r="AV2" s="169"/>
      <c r="AW2" s="169"/>
      <c r="AX2" s="169"/>
      <c r="AY2" s="169"/>
      <c r="AZ2" s="169"/>
      <c r="BA2" s="169"/>
      <c r="BB2" s="169"/>
      <c r="BC2" s="169"/>
      <c r="BD2" s="169"/>
      <c r="BE2" s="169"/>
      <c r="BF2" s="169"/>
      <c r="BG2" s="169"/>
      <c r="BH2" s="169"/>
      <c r="BI2" s="169"/>
      <c r="BJ2" s="169"/>
      <c r="BK2" s="169"/>
      <c r="BL2" s="169"/>
      <c r="BM2" s="169"/>
      <c r="BN2" s="169"/>
      <c r="BO2" s="169"/>
      <c r="BP2" s="169"/>
      <c r="BQ2" s="169"/>
      <c r="BR2" s="169"/>
      <c r="BS2" s="169"/>
      <c r="BT2" s="169"/>
      <c r="BU2" s="169"/>
      <c r="BV2" s="169"/>
      <c r="BW2" s="169"/>
      <c r="BX2" s="169"/>
      <c r="BY2" s="169"/>
      <c r="BZ2" s="169"/>
      <c r="CA2" s="169"/>
      <c r="CB2" s="169"/>
      <c r="CC2" s="169"/>
      <c r="CD2" s="169"/>
      <c r="CE2" s="169"/>
      <c r="CF2" s="169"/>
      <c r="CG2" s="169"/>
      <c r="CH2" s="169"/>
      <c r="CI2" s="170"/>
    </row>
    <row r="3" spans="2:87" ht="25.2" customHeight="1" thickBot="1">
      <c r="B3" s="85" t="s">
        <v>1</v>
      </c>
      <c r="C3" s="86"/>
      <c r="D3" s="86"/>
      <c r="E3" s="86"/>
      <c r="F3" s="86"/>
      <c r="G3" s="171"/>
      <c r="H3" s="172" t="s">
        <v>2</v>
      </c>
      <c r="I3" s="86"/>
      <c r="J3" s="86"/>
      <c r="K3" s="86"/>
      <c r="L3" s="86"/>
      <c r="M3" s="86"/>
      <c r="N3" s="86"/>
      <c r="O3" s="171"/>
      <c r="P3" s="172" t="s">
        <v>3</v>
      </c>
      <c r="Q3" s="86"/>
      <c r="R3" s="86"/>
      <c r="S3" s="86"/>
      <c r="T3" s="86"/>
      <c r="U3" s="86"/>
      <c r="V3" s="86"/>
      <c r="W3" s="171"/>
      <c r="X3" s="172" t="s">
        <v>52</v>
      </c>
      <c r="Y3" s="86"/>
      <c r="Z3" s="86"/>
      <c r="AA3" s="86"/>
      <c r="AB3" s="86"/>
      <c r="AC3" s="86"/>
      <c r="AD3" s="86"/>
      <c r="AE3" s="86"/>
      <c r="AF3" s="86"/>
      <c r="AG3" s="86"/>
      <c r="AH3" s="171"/>
      <c r="AI3" s="172" t="s">
        <v>4</v>
      </c>
      <c r="AJ3" s="86"/>
      <c r="AK3" s="86"/>
      <c r="AL3" s="86"/>
      <c r="AM3" s="86"/>
      <c r="AN3" s="86"/>
      <c r="AO3" s="86"/>
      <c r="AP3" s="86"/>
      <c r="AQ3" s="86"/>
      <c r="AR3" s="86"/>
      <c r="AS3" s="86"/>
      <c r="AT3" s="171"/>
      <c r="AU3" s="172" t="s">
        <v>5</v>
      </c>
      <c r="AV3" s="86"/>
      <c r="AW3" s="86"/>
      <c r="AX3" s="86"/>
      <c r="AY3" s="86"/>
      <c r="AZ3" s="86"/>
      <c r="BA3" s="86"/>
      <c r="BB3" s="86"/>
      <c r="BC3" s="86"/>
      <c r="BD3" s="86"/>
      <c r="BE3" s="86"/>
      <c r="BF3" s="86"/>
      <c r="BG3" s="86"/>
      <c r="BH3" s="86"/>
      <c r="BI3" s="86"/>
      <c r="BJ3" s="86"/>
      <c r="BK3" s="86"/>
      <c r="BL3" s="86"/>
      <c r="BM3" s="86"/>
      <c r="BN3" s="86"/>
      <c r="BO3" s="86"/>
      <c r="BP3" s="86"/>
      <c r="BQ3" s="86"/>
      <c r="BR3" s="86"/>
      <c r="BS3" s="86"/>
      <c r="BT3" s="86"/>
      <c r="BU3" s="86"/>
      <c r="BV3" s="86"/>
      <c r="BW3" s="86"/>
      <c r="BX3" s="86"/>
      <c r="BY3" s="86"/>
      <c r="BZ3" s="171"/>
      <c r="CA3" s="172" t="s">
        <v>6</v>
      </c>
      <c r="CB3" s="86"/>
      <c r="CC3" s="86"/>
      <c r="CD3" s="86"/>
      <c r="CE3" s="86"/>
      <c r="CF3" s="86"/>
      <c r="CG3" s="171"/>
      <c r="CH3" s="172" t="s">
        <v>47</v>
      </c>
      <c r="CI3" s="171"/>
    </row>
    <row r="4" spans="2:87" ht="31.5" customHeight="1" thickBot="1">
      <c r="B4" s="167"/>
      <c r="C4" s="166"/>
      <c r="D4" s="166"/>
      <c r="E4" s="166"/>
      <c r="F4" s="166"/>
      <c r="G4" s="82"/>
      <c r="H4" s="81"/>
      <c r="I4" s="166"/>
      <c r="J4" s="166"/>
      <c r="K4" s="166"/>
      <c r="L4" s="166"/>
      <c r="M4" s="166"/>
      <c r="N4" s="166"/>
      <c r="O4" s="82"/>
      <c r="P4" s="81"/>
      <c r="Q4" s="166"/>
      <c r="R4" s="166"/>
      <c r="S4" s="166"/>
      <c r="T4" s="166"/>
      <c r="U4" s="166"/>
      <c r="V4" s="166"/>
      <c r="W4" s="82"/>
      <c r="X4" s="81"/>
      <c r="Y4" s="166"/>
      <c r="Z4" s="166"/>
      <c r="AA4" s="166"/>
      <c r="AB4" s="166"/>
      <c r="AC4" s="166"/>
      <c r="AD4" s="166"/>
      <c r="AE4" s="166"/>
      <c r="AF4" s="166"/>
      <c r="AG4" s="166"/>
      <c r="AH4" s="82"/>
      <c r="AI4" s="81"/>
      <c r="AJ4" s="166"/>
      <c r="AK4" s="166"/>
      <c r="AL4" s="166"/>
      <c r="AM4" s="166"/>
      <c r="AN4" s="166"/>
      <c r="AO4" s="166"/>
      <c r="AP4" s="166"/>
      <c r="AQ4" s="166"/>
      <c r="AR4" s="166"/>
      <c r="AS4" s="166"/>
      <c r="AT4" s="82"/>
      <c r="AU4" s="81"/>
      <c r="AV4" s="166"/>
      <c r="AW4" s="166"/>
      <c r="AX4" s="166"/>
      <c r="AY4" s="166"/>
      <c r="AZ4" s="166"/>
      <c r="BA4" s="166"/>
      <c r="BB4" s="166"/>
      <c r="BC4" s="166"/>
      <c r="BD4" s="166"/>
      <c r="BE4" s="166"/>
      <c r="BF4" s="166"/>
      <c r="BG4" s="166"/>
      <c r="BH4" s="166"/>
      <c r="BI4" s="166"/>
      <c r="BJ4" s="166"/>
      <c r="BK4" s="166"/>
      <c r="BL4" s="166"/>
      <c r="BM4" s="166"/>
      <c r="BN4" s="166"/>
      <c r="BO4" s="166"/>
      <c r="BP4" s="166"/>
      <c r="BQ4" s="166"/>
      <c r="BR4" s="166"/>
      <c r="BS4" s="166"/>
      <c r="BT4" s="166"/>
      <c r="BU4" s="166"/>
      <c r="BV4" s="166"/>
      <c r="BW4" s="166"/>
      <c r="BX4" s="166"/>
      <c r="BY4" s="166"/>
      <c r="BZ4" s="82"/>
      <c r="CA4" s="81"/>
      <c r="CB4" s="166"/>
      <c r="CC4" s="166"/>
      <c r="CD4" s="166"/>
      <c r="CE4" s="166"/>
      <c r="CF4" s="166"/>
      <c r="CG4" s="82"/>
      <c r="CH4" s="81"/>
      <c r="CI4" s="82"/>
    </row>
    <row r="5" spans="2:87" ht="28.2" customHeight="1" thickBot="1">
      <c r="B5" s="1"/>
      <c r="C5" s="2"/>
      <c r="D5" s="2"/>
      <c r="E5" s="2"/>
      <c r="F5" s="2"/>
      <c r="G5" s="2"/>
      <c r="H5" s="3" t="s">
        <v>7</v>
      </c>
      <c r="I5" s="85"/>
      <c r="J5" s="87"/>
      <c r="K5" s="85"/>
      <c r="L5" s="87"/>
      <c r="M5" s="85"/>
      <c r="N5" s="87"/>
      <c r="O5" s="85"/>
      <c r="P5" s="87"/>
      <c r="Q5" s="85"/>
      <c r="R5" s="87"/>
      <c r="S5" s="85"/>
      <c r="T5" s="87"/>
      <c r="U5" s="85"/>
      <c r="V5" s="87"/>
      <c r="W5" s="85"/>
      <c r="X5" s="87"/>
      <c r="Y5" s="85"/>
      <c r="Z5" s="87"/>
      <c r="AA5" s="85"/>
      <c r="AB5" s="87"/>
      <c r="AC5" s="85"/>
      <c r="AD5" s="87"/>
      <c r="AE5" s="85"/>
      <c r="AF5" s="87"/>
      <c r="AG5" s="85"/>
      <c r="AH5" s="87"/>
      <c r="AI5" s="85"/>
      <c r="AJ5" s="87"/>
      <c r="AK5" s="85"/>
      <c r="AL5" s="87"/>
      <c r="AM5" s="85"/>
      <c r="AN5" s="87"/>
      <c r="AO5" s="85"/>
      <c r="AP5" s="87"/>
      <c r="AQ5" s="85"/>
      <c r="AR5" s="87"/>
      <c r="AS5" s="85"/>
      <c r="AT5" s="87"/>
      <c r="AU5" s="164"/>
      <c r="AV5" s="165"/>
      <c r="AW5" s="85"/>
      <c r="AX5" s="86"/>
      <c r="AY5" s="85"/>
      <c r="AZ5" s="87"/>
      <c r="BA5" s="85"/>
      <c r="BB5" s="87"/>
      <c r="BC5" s="85"/>
      <c r="BD5" s="87"/>
      <c r="BE5" s="85"/>
      <c r="BF5" s="87"/>
      <c r="BG5" s="85"/>
      <c r="BH5" s="87"/>
      <c r="BI5" s="85"/>
      <c r="BJ5" s="87"/>
      <c r="BK5" s="85"/>
      <c r="BL5" s="87"/>
      <c r="BM5" s="85"/>
      <c r="BN5" s="87"/>
      <c r="BO5" s="85"/>
      <c r="BP5" s="87"/>
      <c r="BQ5" s="85"/>
      <c r="BR5" s="87"/>
      <c r="BS5" s="85"/>
      <c r="BT5" s="87"/>
      <c r="BU5" s="85"/>
      <c r="BV5" s="87"/>
      <c r="BW5" s="85"/>
      <c r="BX5" s="87"/>
      <c r="BY5" s="85"/>
      <c r="BZ5" s="87"/>
      <c r="CA5" s="85" t="s">
        <v>8</v>
      </c>
      <c r="CB5" s="86"/>
      <c r="CC5" s="87"/>
      <c r="CD5" s="85">
        <f>COUNTA(I10:BZ10)</f>
        <v>0</v>
      </c>
      <c r="CE5" s="87"/>
      <c r="CI5" s="15"/>
    </row>
    <row r="6" spans="2:87" ht="19.95" customHeight="1">
      <c r="B6" s="158" t="s">
        <v>9</v>
      </c>
      <c r="C6" s="159"/>
      <c r="D6" s="159"/>
      <c r="E6" s="159"/>
      <c r="F6" s="159"/>
      <c r="G6" s="160"/>
      <c r="H6" s="161" t="s">
        <v>10</v>
      </c>
      <c r="I6" s="149"/>
      <c r="J6" s="150"/>
      <c r="K6" s="149"/>
      <c r="L6" s="150"/>
      <c r="M6" s="149"/>
      <c r="N6" s="150"/>
      <c r="O6" s="149"/>
      <c r="P6" s="150"/>
      <c r="Q6" s="149"/>
      <c r="R6" s="150"/>
      <c r="S6" s="149"/>
      <c r="T6" s="150"/>
      <c r="U6" s="149"/>
      <c r="V6" s="150"/>
      <c r="W6" s="149"/>
      <c r="X6" s="150"/>
      <c r="Y6" s="149"/>
      <c r="Z6" s="150"/>
      <c r="AA6" s="149"/>
      <c r="AB6" s="150"/>
      <c r="AC6" s="149"/>
      <c r="AD6" s="150"/>
      <c r="AE6" s="149"/>
      <c r="AF6" s="150"/>
      <c r="AG6" s="149"/>
      <c r="AH6" s="150"/>
      <c r="AI6" s="149"/>
      <c r="AJ6" s="150"/>
      <c r="AK6" s="149"/>
      <c r="AL6" s="150"/>
      <c r="AM6" s="149"/>
      <c r="AN6" s="150"/>
      <c r="AO6" s="149"/>
      <c r="AP6" s="150"/>
      <c r="AQ6" s="149"/>
      <c r="AR6" s="150"/>
      <c r="AS6" s="149"/>
      <c r="AT6" s="150"/>
      <c r="AU6" s="149"/>
      <c r="AV6" s="150"/>
      <c r="AW6" s="149"/>
      <c r="AX6" s="150"/>
      <c r="AY6" s="149"/>
      <c r="AZ6" s="150"/>
      <c r="BA6" s="149"/>
      <c r="BB6" s="150"/>
      <c r="BC6" s="149"/>
      <c r="BD6" s="150"/>
      <c r="BE6" s="149"/>
      <c r="BF6" s="150"/>
      <c r="BG6" s="149"/>
      <c r="BH6" s="150"/>
      <c r="BI6" s="149"/>
      <c r="BJ6" s="150"/>
      <c r="BK6" s="149"/>
      <c r="BL6" s="150"/>
      <c r="BM6" s="149"/>
      <c r="BN6" s="150"/>
      <c r="BO6" s="149"/>
      <c r="BP6" s="150"/>
      <c r="BQ6" s="149"/>
      <c r="BR6" s="150"/>
      <c r="BS6" s="149"/>
      <c r="BT6" s="150"/>
      <c r="BU6" s="149"/>
      <c r="BV6" s="150"/>
      <c r="BW6" s="149"/>
      <c r="BX6" s="150"/>
      <c r="BY6" s="149"/>
      <c r="BZ6" s="150"/>
      <c r="CI6" s="16"/>
    </row>
    <row r="7" spans="2:87" ht="40.200000000000003" customHeight="1">
      <c r="B7" s="7" t="e">
        <f>IFERROR(COUNTIF(I39:BZ39,"O")/(COUNTIF(I39:BZ39,"O")+COUNTIF(I39:BZ39,"X")),"")*100</f>
        <v>#VALUE!</v>
      </c>
      <c r="C7" s="6" t="s">
        <v>11</v>
      </c>
      <c r="D7" s="6" t="s">
        <v>48</v>
      </c>
      <c r="E7" s="17">
        <v>1</v>
      </c>
      <c r="F7" s="6" t="s">
        <v>12</v>
      </c>
      <c r="G7" s="18"/>
      <c r="H7" s="162"/>
      <c r="I7" s="151"/>
      <c r="J7" s="152"/>
      <c r="K7" s="151"/>
      <c r="L7" s="152"/>
      <c r="M7" s="151"/>
      <c r="N7" s="152"/>
      <c r="O7" s="151"/>
      <c r="P7" s="152"/>
      <c r="Q7" s="151"/>
      <c r="R7" s="152"/>
      <c r="S7" s="151"/>
      <c r="T7" s="152"/>
      <c r="U7" s="151"/>
      <c r="V7" s="152"/>
      <c r="W7" s="151"/>
      <c r="X7" s="152"/>
      <c r="Y7" s="151"/>
      <c r="Z7" s="152"/>
      <c r="AA7" s="151"/>
      <c r="AB7" s="152"/>
      <c r="AC7" s="151"/>
      <c r="AD7" s="152"/>
      <c r="AE7" s="151"/>
      <c r="AF7" s="152"/>
      <c r="AG7" s="151"/>
      <c r="AH7" s="152"/>
      <c r="AI7" s="151"/>
      <c r="AJ7" s="152"/>
      <c r="AK7" s="151"/>
      <c r="AL7" s="152"/>
      <c r="AM7" s="151"/>
      <c r="AN7" s="152"/>
      <c r="AO7" s="151"/>
      <c r="AP7" s="152"/>
      <c r="AQ7" s="151"/>
      <c r="AR7" s="152"/>
      <c r="AS7" s="151"/>
      <c r="AT7" s="152"/>
      <c r="AU7" s="151"/>
      <c r="AV7" s="152"/>
      <c r="AW7" s="151"/>
      <c r="AX7" s="152"/>
      <c r="AY7" s="151"/>
      <c r="AZ7" s="152"/>
      <c r="BA7" s="151"/>
      <c r="BB7" s="152"/>
      <c r="BC7" s="151"/>
      <c r="BD7" s="152"/>
      <c r="BE7" s="151"/>
      <c r="BF7" s="152"/>
      <c r="BG7" s="151"/>
      <c r="BH7" s="152"/>
      <c r="BI7" s="151"/>
      <c r="BJ7" s="152"/>
      <c r="BK7" s="151"/>
      <c r="BL7" s="152"/>
      <c r="BM7" s="151"/>
      <c r="BN7" s="152"/>
      <c r="BO7" s="151"/>
      <c r="BP7" s="152"/>
      <c r="BQ7" s="151"/>
      <c r="BR7" s="152"/>
      <c r="BS7" s="151"/>
      <c r="BT7" s="152"/>
      <c r="BU7" s="151"/>
      <c r="BV7" s="152"/>
      <c r="BW7" s="151"/>
      <c r="BX7" s="152"/>
      <c r="BY7" s="151"/>
      <c r="BZ7" s="152"/>
      <c r="CI7" s="16"/>
    </row>
    <row r="8" spans="2:87" ht="19.95" customHeight="1">
      <c r="B8" s="155" t="s">
        <v>13</v>
      </c>
      <c r="C8" s="156"/>
      <c r="D8" s="156"/>
      <c r="E8" s="156"/>
      <c r="F8" s="156"/>
      <c r="G8" s="157"/>
      <c r="H8" s="162"/>
      <c r="I8" s="151"/>
      <c r="J8" s="152"/>
      <c r="K8" s="151"/>
      <c r="L8" s="152"/>
      <c r="M8" s="151"/>
      <c r="N8" s="152"/>
      <c r="O8" s="151"/>
      <c r="P8" s="152"/>
      <c r="Q8" s="151"/>
      <c r="R8" s="152"/>
      <c r="S8" s="151"/>
      <c r="T8" s="152"/>
      <c r="U8" s="151"/>
      <c r="V8" s="152"/>
      <c r="W8" s="151"/>
      <c r="X8" s="152"/>
      <c r="Y8" s="151"/>
      <c r="Z8" s="152"/>
      <c r="AA8" s="151"/>
      <c r="AB8" s="152"/>
      <c r="AC8" s="151"/>
      <c r="AD8" s="152"/>
      <c r="AE8" s="151"/>
      <c r="AF8" s="152"/>
      <c r="AG8" s="151"/>
      <c r="AH8" s="152"/>
      <c r="AI8" s="151"/>
      <c r="AJ8" s="152"/>
      <c r="AK8" s="151"/>
      <c r="AL8" s="152"/>
      <c r="AM8" s="151"/>
      <c r="AN8" s="152"/>
      <c r="AO8" s="151"/>
      <c r="AP8" s="152"/>
      <c r="AQ8" s="151"/>
      <c r="AR8" s="152"/>
      <c r="AS8" s="151"/>
      <c r="AT8" s="152"/>
      <c r="AU8" s="151"/>
      <c r="AV8" s="152"/>
      <c r="AW8" s="151"/>
      <c r="AX8" s="152"/>
      <c r="AY8" s="151"/>
      <c r="AZ8" s="152"/>
      <c r="BA8" s="151"/>
      <c r="BB8" s="152"/>
      <c r="BC8" s="151"/>
      <c r="BD8" s="152"/>
      <c r="BE8" s="151"/>
      <c r="BF8" s="152"/>
      <c r="BG8" s="151"/>
      <c r="BH8" s="152"/>
      <c r="BI8" s="151"/>
      <c r="BJ8" s="152"/>
      <c r="BK8" s="151"/>
      <c r="BL8" s="152"/>
      <c r="BM8" s="151"/>
      <c r="BN8" s="152"/>
      <c r="BO8" s="151"/>
      <c r="BP8" s="152"/>
      <c r="BQ8" s="151"/>
      <c r="BR8" s="152"/>
      <c r="BS8" s="151"/>
      <c r="BT8" s="152"/>
      <c r="BU8" s="151"/>
      <c r="BV8" s="152"/>
      <c r="BW8" s="151"/>
      <c r="BX8" s="152"/>
      <c r="BY8" s="151"/>
      <c r="BZ8" s="152"/>
      <c r="CI8" s="16"/>
    </row>
    <row r="9" spans="2:87" ht="40.200000000000003" customHeight="1" thickBot="1">
      <c r="B9" s="7" t="e">
        <f>IFERROR(COUNTIF(CA12:CA38,"O")/(COUNTIF(CA12:CA38,"O")+COUNTIF(CA12:CA38,"X")),"")*100</f>
        <v>#VALUE!</v>
      </c>
      <c r="C9" s="6" t="s">
        <v>11</v>
      </c>
      <c r="D9" s="6" t="s">
        <v>48</v>
      </c>
      <c r="E9" s="17">
        <f>G7</f>
        <v>0</v>
      </c>
      <c r="F9" s="6" t="s">
        <v>12</v>
      </c>
      <c r="G9" s="18">
        <v>1</v>
      </c>
      <c r="H9" s="163"/>
      <c r="I9" s="153"/>
      <c r="J9" s="154"/>
      <c r="K9" s="153"/>
      <c r="L9" s="154"/>
      <c r="M9" s="153"/>
      <c r="N9" s="154"/>
      <c r="O9" s="153"/>
      <c r="P9" s="154"/>
      <c r="Q9" s="153"/>
      <c r="R9" s="154"/>
      <c r="S9" s="153"/>
      <c r="T9" s="154"/>
      <c r="U9" s="153"/>
      <c r="V9" s="154"/>
      <c r="W9" s="153"/>
      <c r="X9" s="154"/>
      <c r="Y9" s="153"/>
      <c r="Z9" s="154"/>
      <c r="AA9" s="153"/>
      <c r="AB9" s="154"/>
      <c r="AC9" s="153"/>
      <c r="AD9" s="154"/>
      <c r="AE9" s="153"/>
      <c r="AF9" s="154"/>
      <c r="AG9" s="153"/>
      <c r="AH9" s="154"/>
      <c r="AI9" s="153"/>
      <c r="AJ9" s="154"/>
      <c r="AK9" s="153"/>
      <c r="AL9" s="154"/>
      <c r="AM9" s="153"/>
      <c r="AN9" s="154"/>
      <c r="AO9" s="153"/>
      <c r="AP9" s="154"/>
      <c r="AQ9" s="153"/>
      <c r="AR9" s="154"/>
      <c r="AS9" s="153"/>
      <c r="AT9" s="154"/>
      <c r="AU9" s="153"/>
      <c r="AV9" s="154"/>
      <c r="AW9" s="153"/>
      <c r="AX9" s="154"/>
      <c r="AY9" s="153"/>
      <c r="AZ9" s="154"/>
      <c r="BA9" s="153"/>
      <c r="BB9" s="154"/>
      <c r="BC9" s="153"/>
      <c r="BD9" s="154"/>
      <c r="BE9" s="153"/>
      <c r="BF9" s="154"/>
      <c r="BG9" s="153"/>
      <c r="BH9" s="154"/>
      <c r="BI9" s="153"/>
      <c r="BJ9" s="154"/>
      <c r="BK9" s="153"/>
      <c r="BL9" s="154"/>
      <c r="BM9" s="153"/>
      <c r="BN9" s="154"/>
      <c r="BO9" s="153"/>
      <c r="BP9" s="154"/>
      <c r="BQ9" s="153"/>
      <c r="BR9" s="154"/>
      <c r="BS9" s="153"/>
      <c r="BT9" s="154"/>
      <c r="BU9" s="153"/>
      <c r="BV9" s="154"/>
      <c r="BW9" s="153"/>
      <c r="BX9" s="154"/>
      <c r="BY9" s="153"/>
      <c r="BZ9" s="154"/>
      <c r="CI9" s="16"/>
    </row>
    <row r="10" spans="2:87" ht="28.2" customHeight="1" thickBot="1">
      <c r="B10" s="8"/>
      <c r="G10" s="19"/>
      <c r="H10" s="5" t="s">
        <v>14</v>
      </c>
      <c r="I10" s="52"/>
      <c r="J10" s="53"/>
      <c r="K10" s="83"/>
      <c r="L10" s="84"/>
      <c r="M10" s="83"/>
      <c r="N10" s="84"/>
      <c r="O10" s="83"/>
      <c r="P10" s="84"/>
      <c r="Q10" s="83"/>
      <c r="R10" s="84"/>
      <c r="S10" s="83"/>
      <c r="T10" s="84"/>
      <c r="U10" s="83"/>
      <c r="V10" s="84"/>
      <c r="W10" s="83"/>
      <c r="X10" s="84"/>
      <c r="Y10" s="83"/>
      <c r="Z10" s="84"/>
      <c r="AA10" s="83"/>
      <c r="AB10" s="84"/>
      <c r="AC10" s="83"/>
      <c r="AD10" s="84"/>
      <c r="AE10" s="83"/>
      <c r="AF10" s="84"/>
      <c r="AG10" s="83"/>
      <c r="AH10" s="84"/>
      <c r="AI10" s="83"/>
      <c r="AJ10" s="84"/>
      <c r="AK10" s="83"/>
      <c r="AL10" s="84"/>
      <c r="AM10" s="83"/>
      <c r="AN10" s="84"/>
      <c r="AO10" s="83"/>
      <c r="AP10" s="84"/>
      <c r="AQ10" s="83"/>
      <c r="AR10" s="84"/>
      <c r="AS10" s="83"/>
      <c r="AT10" s="84"/>
      <c r="AU10" s="83"/>
      <c r="AV10" s="84"/>
      <c r="AW10" s="83"/>
      <c r="AX10" s="84"/>
      <c r="AY10" s="83"/>
      <c r="AZ10" s="84"/>
      <c r="BA10" s="83"/>
      <c r="BB10" s="84"/>
      <c r="BC10" s="83"/>
      <c r="BD10" s="84"/>
      <c r="BE10" s="83"/>
      <c r="BF10" s="84"/>
      <c r="BG10" s="83"/>
      <c r="BH10" s="84"/>
      <c r="BI10" s="83"/>
      <c r="BJ10" s="84"/>
      <c r="BK10" s="83"/>
      <c r="BL10" s="84"/>
      <c r="BM10" s="83"/>
      <c r="BN10" s="84"/>
      <c r="BO10" s="83"/>
      <c r="BP10" s="84"/>
      <c r="BQ10" s="83"/>
      <c r="BR10" s="84"/>
      <c r="BS10" s="83"/>
      <c r="BT10" s="84"/>
      <c r="BU10" s="83"/>
      <c r="BV10" s="84"/>
      <c r="BW10" s="83"/>
      <c r="BX10" s="84"/>
      <c r="BY10" s="83"/>
      <c r="BZ10" s="91"/>
      <c r="CA10" s="83" t="str">
        <f>G7&amp;" X 1"</f>
        <v xml:space="preserve"> X 1</v>
      </c>
      <c r="CB10" s="84"/>
      <c r="CC10" s="84"/>
      <c r="CD10" s="143" t="s">
        <v>15</v>
      </c>
      <c r="CE10" s="144"/>
      <c r="CF10" s="144"/>
      <c r="CG10" s="144"/>
      <c r="CH10" s="144"/>
      <c r="CI10" s="145"/>
    </row>
    <row r="11" spans="2:87" ht="61.2" customHeight="1" thickBot="1">
      <c r="B11" s="9" t="s">
        <v>49</v>
      </c>
      <c r="C11" s="85" t="s">
        <v>16</v>
      </c>
      <c r="D11" s="86"/>
      <c r="E11" s="86"/>
      <c r="F11" s="86"/>
      <c r="G11" s="86"/>
      <c r="H11" s="87"/>
      <c r="I11" s="42" t="s">
        <v>53</v>
      </c>
      <c r="J11" s="10" t="s">
        <v>18</v>
      </c>
      <c r="K11" s="42" t="s">
        <v>53</v>
      </c>
      <c r="L11" s="10" t="s">
        <v>18</v>
      </c>
      <c r="M11" s="42" t="s">
        <v>53</v>
      </c>
      <c r="N11" s="10" t="s">
        <v>18</v>
      </c>
      <c r="O11" s="42" t="s">
        <v>53</v>
      </c>
      <c r="P11" s="10" t="s">
        <v>18</v>
      </c>
      <c r="Q11" s="42" t="s">
        <v>53</v>
      </c>
      <c r="R11" s="10" t="s">
        <v>18</v>
      </c>
      <c r="S11" s="42" t="s">
        <v>53</v>
      </c>
      <c r="T11" s="10" t="s">
        <v>18</v>
      </c>
      <c r="U11" s="42" t="s">
        <v>53</v>
      </c>
      <c r="V11" s="10" t="s">
        <v>18</v>
      </c>
      <c r="W11" s="42" t="s">
        <v>53</v>
      </c>
      <c r="X11" s="10" t="s">
        <v>18</v>
      </c>
      <c r="Y11" s="42" t="s">
        <v>53</v>
      </c>
      <c r="Z11" s="10" t="s">
        <v>18</v>
      </c>
      <c r="AA11" s="42" t="s">
        <v>53</v>
      </c>
      <c r="AB11" s="10" t="s">
        <v>18</v>
      </c>
      <c r="AC11" s="42" t="s">
        <v>53</v>
      </c>
      <c r="AD11" s="10" t="s">
        <v>18</v>
      </c>
      <c r="AE11" s="42" t="s">
        <v>53</v>
      </c>
      <c r="AF11" s="10" t="s">
        <v>18</v>
      </c>
      <c r="AG11" s="42" t="s">
        <v>53</v>
      </c>
      <c r="AH11" s="10" t="s">
        <v>18</v>
      </c>
      <c r="AI11" s="42" t="s">
        <v>53</v>
      </c>
      <c r="AJ11" s="10" t="s">
        <v>18</v>
      </c>
      <c r="AK11" s="42" t="s">
        <v>53</v>
      </c>
      <c r="AL11" s="10" t="s">
        <v>18</v>
      </c>
      <c r="AM11" s="42" t="s">
        <v>53</v>
      </c>
      <c r="AN11" s="10" t="s">
        <v>18</v>
      </c>
      <c r="AO11" s="42" t="s">
        <v>53</v>
      </c>
      <c r="AP11" s="10" t="s">
        <v>18</v>
      </c>
      <c r="AQ11" s="42" t="s">
        <v>53</v>
      </c>
      <c r="AR11" s="10" t="s">
        <v>18</v>
      </c>
      <c r="AS11" s="42" t="s">
        <v>53</v>
      </c>
      <c r="AT11" s="10" t="s">
        <v>18</v>
      </c>
      <c r="AU11" s="42" t="s">
        <v>53</v>
      </c>
      <c r="AV11" s="10" t="s">
        <v>18</v>
      </c>
      <c r="AW11" s="42" t="s">
        <v>53</v>
      </c>
      <c r="AX11" s="10" t="s">
        <v>18</v>
      </c>
      <c r="AY11" s="42" t="s">
        <v>53</v>
      </c>
      <c r="AZ11" s="10" t="s">
        <v>18</v>
      </c>
      <c r="BA11" s="42" t="s">
        <v>53</v>
      </c>
      <c r="BB11" s="10" t="s">
        <v>18</v>
      </c>
      <c r="BC11" s="42" t="s">
        <v>53</v>
      </c>
      <c r="BD11" s="10" t="s">
        <v>18</v>
      </c>
      <c r="BE11" s="42" t="s">
        <v>53</v>
      </c>
      <c r="BF11" s="10" t="s">
        <v>18</v>
      </c>
      <c r="BG11" s="42" t="s">
        <v>53</v>
      </c>
      <c r="BH11" s="10" t="s">
        <v>18</v>
      </c>
      <c r="BI11" s="42" t="s">
        <v>53</v>
      </c>
      <c r="BJ11" s="10" t="s">
        <v>18</v>
      </c>
      <c r="BK11" s="42" t="s">
        <v>53</v>
      </c>
      <c r="BL11" s="10" t="s">
        <v>18</v>
      </c>
      <c r="BM11" s="42" t="s">
        <v>53</v>
      </c>
      <c r="BN11" s="10" t="s">
        <v>18</v>
      </c>
      <c r="BO11" s="42" t="s">
        <v>53</v>
      </c>
      <c r="BP11" s="10" t="s">
        <v>18</v>
      </c>
      <c r="BQ11" s="42" t="s">
        <v>53</v>
      </c>
      <c r="BR11" s="10" t="s">
        <v>18</v>
      </c>
      <c r="BS11" s="42" t="s">
        <v>53</v>
      </c>
      <c r="BT11" s="10" t="s">
        <v>18</v>
      </c>
      <c r="BU11" s="42" t="s">
        <v>53</v>
      </c>
      <c r="BV11" s="10" t="s">
        <v>18</v>
      </c>
      <c r="BW11" s="42" t="s">
        <v>53</v>
      </c>
      <c r="BX11" s="10" t="s">
        <v>18</v>
      </c>
      <c r="BY11" s="42" t="s">
        <v>53</v>
      </c>
      <c r="BZ11" s="10" t="s">
        <v>18</v>
      </c>
      <c r="CA11" s="88">
        <f>COUNTIF(CA12:CC38,"O")</f>
        <v>0</v>
      </c>
      <c r="CB11" s="89"/>
      <c r="CC11" s="90"/>
      <c r="CD11" s="146"/>
      <c r="CE11" s="147"/>
      <c r="CF11" s="147"/>
      <c r="CG11" s="147"/>
      <c r="CH11" s="147"/>
      <c r="CI11" s="148"/>
    </row>
    <row r="12" spans="2:87" ht="49.95" customHeight="1">
      <c r="B12" s="12"/>
      <c r="C12" s="140"/>
      <c r="D12" s="141"/>
      <c r="E12" s="141"/>
      <c r="F12" s="141"/>
      <c r="G12" s="141"/>
      <c r="H12" s="142"/>
      <c r="I12" s="173"/>
      <c r="J12" s="40"/>
      <c r="K12" s="173"/>
      <c r="L12" s="40"/>
      <c r="M12" s="173"/>
      <c r="N12" s="40"/>
      <c r="O12" s="173"/>
      <c r="P12" s="40"/>
      <c r="Q12" s="173"/>
      <c r="R12" s="40"/>
      <c r="S12" s="173"/>
      <c r="T12" s="40"/>
      <c r="U12" s="173"/>
      <c r="V12" s="40"/>
      <c r="W12" s="173"/>
      <c r="X12" s="40"/>
      <c r="Y12" s="173"/>
      <c r="Z12" s="40"/>
      <c r="AA12" s="173"/>
      <c r="AB12" s="40"/>
      <c r="AC12" s="173"/>
      <c r="AD12" s="40"/>
      <c r="AE12" s="173"/>
      <c r="AF12" s="40"/>
      <c r="AG12" s="173"/>
      <c r="AH12" s="40"/>
      <c r="AI12" s="173"/>
      <c r="AJ12" s="40"/>
      <c r="AK12" s="173"/>
      <c r="AL12" s="40"/>
      <c r="AM12" s="173"/>
      <c r="AN12" s="40"/>
      <c r="AO12" s="173"/>
      <c r="AP12" s="40"/>
      <c r="AQ12" s="173"/>
      <c r="AR12" s="40"/>
      <c r="AS12" s="173"/>
      <c r="AT12" s="40"/>
      <c r="AU12" s="173"/>
      <c r="AV12" s="40"/>
      <c r="AW12" s="173"/>
      <c r="AX12" s="40"/>
      <c r="AY12" s="173"/>
      <c r="AZ12" s="40"/>
      <c r="BA12" s="173"/>
      <c r="BB12" s="40"/>
      <c r="BC12" s="173"/>
      <c r="BD12" s="40"/>
      <c r="BE12" s="173"/>
      <c r="BF12" s="40"/>
      <c r="BG12" s="173"/>
      <c r="BH12" s="40"/>
      <c r="BI12" s="173"/>
      <c r="BJ12" s="40"/>
      <c r="BK12" s="173"/>
      <c r="BL12" s="40"/>
      <c r="BM12" s="173"/>
      <c r="BN12" s="40"/>
      <c r="BO12" s="173"/>
      <c r="BP12" s="40"/>
      <c r="BQ12" s="173"/>
      <c r="BR12" s="40"/>
      <c r="BS12" s="173"/>
      <c r="BT12" s="40"/>
      <c r="BU12" s="173"/>
      <c r="BV12" s="40"/>
      <c r="BW12" s="173"/>
      <c r="BX12" s="40"/>
      <c r="BY12" s="173"/>
      <c r="BZ12" s="40"/>
      <c r="CA12" s="83" t="str">
        <f t="shared" ref="CA12:CA38" si="0">IF($G$10="S",IF(C12="","",IF(((COUNTIF(I12:BZ12,"L")+(COUNTIF(I12:BZ12,"U")))-((COUNTIFS(I12:BZ12,"U",$I$50:$BZ$50,"SV")+COUNTIFS(I12:BZ12,"U",$I$50:$BZ$50,"LIDER")+COUNTIFS(I12:BZ12,"U",$I$50:$BZ$50,"C/A")+COUNTIFS(I12:BZ12,"U",$I$50:$BZ$50,"NI"))+(COUNTIFS(I12:BZ12,"L",$I$50:$BZ$50,"SV")+COUNTIFS(I12:BZ12,"L",$I$50:$BZ$50,"LIDER")+COUNTIFS(I12:BZ12,"L",$I$50:$BZ$50,"C/A")+COUNTIFS(I12:BZ12,"L",$I$50:$BZ$50,"NI"))))&gt;=$G$7,"O","X")),IF(C12="","",IF(((COUNTIF(I12:BZ12,"L")+(COUNTIF(I12:BZ12,"U")))-((COUNTIFS(I12:BZ12,"U",$I$50:$BZ$50,"SV")+COUNTIFS(I12:BZ12,"U",$I$50:$BZ$50,"NI"))+(COUNTIFS(I12:BZ12,"L",$I$50:$BZ$50,"SV")+COUNTIFS(I12:BZ12,"L",$I$50:$BZ$50,"NI"))))&gt;=$G$7,"O","X")))</f>
        <v/>
      </c>
      <c r="CB12" s="84"/>
      <c r="CC12" s="91"/>
      <c r="CD12" s="71"/>
      <c r="CE12" s="72"/>
      <c r="CF12" s="72"/>
      <c r="CG12" s="72"/>
      <c r="CH12" s="72"/>
      <c r="CI12" s="73"/>
    </row>
    <row r="13" spans="2:87" ht="49.95" customHeight="1">
      <c r="B13" s="13"/>
      <c r="C13" s="137"/>
      <c r="D13" s="138"/>
      <c r="E13" s="138"/>
      <c r="F13" s="138"/>
      <c r="G13" s="138"/>
      <c r="H13" s="139"/>
      <c r="I13" s="174"/>
      <c r="J13" s="41"/>
      <c r="K13" s="174"/>
      <c r="L13" s="41"/>
      <c r="M13" s="174"/>
      <c r="N13" s="41"/>
      <c r="O13" s="174"/>
      <c r="P13" s="41"/>
      <c r="Q13" s="174"/>
      <c r="R13" s="41"/>
      <c r="S13" s="174"/>
      <c r="T13" s="41"/>
      <c r="U13" s="174"/>
      <c r="V13" s="41"/>
      <c r="W13" s="174"/>
      <c r="X13" s="41"/>
      <c r="Y13" s="174"/>
      <c r="Z13" s="41"/>
      <c r="AA13" s="174"/>
      <c r="AB13" s="41"/>
      <c r="AC13" s="174"/>
      <c r="AD13" s="41"/>
      <c r="AE13" s="174"/>
      <c r="AF13" s="41"/>
      <c r="AG13" s="174"/>
      <c r="AH13" s="41"/>
      <c r="AI13" s="174"/>
      <c r="AJ13" s="41"/>
      <c r="AK13" s="174"/>
      <c r="AL13" s="41"/>
      <c r="AM13" s="174"/>
      <c r="AN13" s="41"/>
      <c r="AO13" s="174"/>
      <c r="AP13" s="41"/>
      <c r="AQ13" s="174"/>
      <c r="AR13" s="41"/>
      <c r="AS13" s="174"/>
      <c r="AT13" s="41"/>
      <c r="AU13" s="174"/>
      <c r="AV13" s="41"/>
      <c r="AW13" s="174"/>
      <c r="AX13" s="41"/>
      <c r="AY13" s="174"/>
      <c r="AZ13" s="41"/>
      <c r="BA13" s="174"/>
      <c r="BB13" s="41"/>
      <c r="BC13" s="174"/>
      <c r="BD13" s="41"/>
      <c r="BE13" s="174"/>
      <c r="BF13" s="41"/>
      <c r="BG13" s="174"/>
      <c r="BH13" s="41"/>
      <c r="BI13" s="174"/>
      <c r="BJ13" s="41"/>
      <c r="BK13" s="174"/>
      <c r="BL13" s="41"/>
      <c r="BM13" s="174"/>
      <c r="BN13" s="41"/>
      <c r="BO13" s="174"/>
      <c r="BP13" s="41"/>
      <c r="BQ13" s="174"/>
      <c r="BR13" s="41"/>
      <c r="BS13" s="174"/>
      <c r="BT13" s="41"/>
      <c r="BU13" s="174"/>
      <c r="BV13" s="41"/>
      <c r="BW13" s="174"/>
      <c r="BX13" s="41"/>
      <c r="BY13" s="174"/>
      <c r="BZ13" s="41"/>
      <c r="CA13" s="54" t="str">
        <f t="shared" si="0"/>
        <v/>
      </c>
      <c r="CB13" s="55"/>
      <c r="CC13" s="56"/>
      <c r="CD13" s="43"/>
      <c r="CE13" s="44"/>
      <c r="CF13" s="44"/>
      <c r="CG13" s="44"/>
      <c r="CH13" s="44"/>
      <c r="CI13" s="45"/>
    </row>
    <row r="14" spans="2:87" ht="49.95" customHeight="1">
      <c r="B14" s="13"/>
      <c r="C14" s="137"/>
      <c r="D14" s="138"/>
      <c r="E14" s="138"/>
      <c r="F14" s="138"/>
      <c r="G14" s="138"/>
      <c r="H14" s="139"/>
      <c r="I14" s="174"/>
      <c r="J14" s="41"/>
      <c r="K14" s="174"/>
      <c r="L14" s="41"/>
      <c r="M14" s="174"/>
      <c r="N14" s="41"/>
      <c r="O14" s="174"/>
      <c r="P14" s="41"/>
      <c r="Q14" s="174"/>
      <c r="R14" s="41"/>
      <c r="S14" s="174"/>
      <c r="T14" s="41"/>
      <c r="U14" s="174"/>
      <c r="V14" s="41"/>
      <c r="W14" s="174"/>
      <c r="X14" s="41"/>
      <c r="Y14" s="174"/>
      <c r="Z14" s="41"/>
      <c r="AA14" s="174"/>
      <c r="AB14" s="41"/>
      <c r="AC14" s="174"/>
      <c r="AD14" s="41"/>
      <c r="AE14" s="174"/>
      <c r="AF14" s="41"/>
      <c r="AG14" s="174"/>
      <c r="AH14" s="41"/>
      <c r="AI14" s="174"/>
      <c r="AJ14" s="41"/>
      <c r="AK14" s="174"/>
      <c r="AL14" s="41"/>
      <c r="AM14" s="174"/>
      <c r="AN14" s="41"/>
      <c r="AO14" s="174"/>
      <c r="AP14" s="41"/>
      <c r="AQ14" s="174"/>
      <c r="AR14" s="41"/>
      <c r="AS14" s="174"/>
      <c r="AT14" s="41"/>
      <c r="AU14" s="174"/>
      <c r="AV14" s="41"/>
      <c r="AW14" s="174"/>
      <c r="AX14" s="41"/>
      <c r="AY14" s="174"/>
      <c r="AZ14" s="41"/>
      <c r="BA14" s="174"/>
      <c r="BB14" s="41"/>
      <c r="BC14" s="174"/>
      <c r="BD14" s="41"/>
      <c r="BE14" s="174"/>
      <c r="BF14" s="41"/>
      <c r="BG14" s="174"/>
      <c r="BH14" s="41"/>
      <c r="BI14" s="174"/>
      <c r="BJ14" s="41"/>
      <c r="BK14" s="174"/>
      <c r="BL14" s="41"/>
      <c r="BM14" s="174"/>
      <c r="BN14" s="41"/>
      <c r="BO14" s="174"/>
      <c r="BP14" s="41"/>
      <c r="BQ14" s="174"/>
      <c r="BR14" s="41"/>
      <c r="BS14" s="174"/>
      <c r="BT14" s="41"/>
      <c r="BU14" s="174"/>
      <c r="BV14" s="41"/>
      <c r="BW14" s="174"/>
      <c r="BX14" s="41"/>
      <c r="BY14" s="174"/>
      <c r="BZ14" s="41"/>
      <c r="CA14" s="54" t="str">
        <f t="shared" si="0"/>
        <v/>
      </c>
      <c r="CB14" s="55"/>
      <c r="CC14" s="56"/>
      <c r="CD14" s="43"/>
      <c r="CE14" s="44"/>
      <c r="CF14" s="44"/>
      <c r="CG14" s="44"/>
      <c r="CH14" s="44"/>
      <c r="CI14" s="45"/>
    </row>
    <row r="15" spans="2:87" ht="49.95" customHeight="1">
      <c r="B15" s="13"/>
      <c r="C15" s="137"/>
      <c r="D15" s="138"/>
      <c r="E15" s="138"/>
      <c r="F15" s="138"/>
      <c r="G15" s="138"/>
      <c r="H15" s="139"/>
      <c r="I15" s="174"/>
      <c r="J15" s="41"/>
      <c r="K15" s="174"/>
      <c r="L15" s="41"/>
      <c r="M15" s="174"/>
      <c r="N15" s="41"/>
      <c r="O15" s="174"/>
      <c r="P15" s="41"/>
      <c r="Q15" s="174"/>
      <c r="R15" s="41"/>
      <c r="S15" s="174"/>
      <c r="T15" s="41"/>
      <c r="U15" s="174"/>
      <c r="V15" s="41"/>
      <c r="W15" s="174"/>
      <c r="X15" s="41"/>
      <c r="Y15" s="174"/>
      <c r="Z15" s="41"/>
      <c r="AA15" s="174"/>
      <c r="AB15" s="41"/>
      <c r="AC15" s="174"/>
      <c r="AD15" s="41"/>
      <c r="AE15" s="174"/>
      <c r="AF15" s="41"/>
      <c r="AG15" s="174"/>
      <c r="AH15" s="41"/>
      <c r="AI15" s="174"/>
      <c r="AJ15" s="41"/>
      <c r="AK15" s="174"/>
      <c r="AL15" s="41"/>
      <c r="AM15" s="174"/>
      <c r="AN15" s="41"/>
      <c r="AO15" s="174"/>
      <c r="AP15" s="41"/>
      <c r="AQ15" s="174"/>
      <c r="AR15" s="41"/>
      <c r="AS15" s="174"/>
      <c r="AT15" s="41"/>
      <c r="AU15" s="174"/>
      <c r="AV15" s="41"/>
      <c r="AW15" s="174"/>
      <c r="AX15" s="41"/>
      <c r="AY15" s="174"/>
      <c r="AZ15" s="41"/>
      <c r="BA15" s="174"/>
      <c r="BB15" s="41"/>
      <c r="BC15" s="174"/>
      <c r="BD15" s="41"/>
      <c r="BE15" s="174"/>
      <c r="BF15" s="41"/>
      <c r="BG15" s="174"/>
      <c r="BH15" s="41"/>
      <c r="BI15" s="174"/>
      <c r="BJ15" s="41"/>
      <c r="BK15" s="174"/>
      <c r="BL15" s="41"/>
      <c r="BM15" s="174"/>
      <c r="BN15" s="41"/>
      <c r="BO15" s="174"/>
      <c r="BP15" s="41"/>
      <c r="BQ15" s="174"/>
      <c r="BR15" s="41"/>
      <c r="BS15" s="174"/>
      <c r="BT15" s="41"/>
      <c r="BU15" s="174"/>
      <c r="BV15" s="41"/>
      <c r="BW15" s="174"/>
      <c r="BX15" s="41"/>
      <c r="BY15" s="174"/>
      <c r="BZ15" s="41"/>
      <c r="CA15" s="54" t="str">
        <f t="shared" si="0"/>
        <v/>
      </c>
      <c r="CB15" s="55"/>
      <c r="CC15" s="56"/>
      <c r="CD15" s="43"/>
      <c r="CE15" s="44"/>
      <c r="CF15" s="44"/>
      <c r="CG15" s="44"/>
      <c r="CH15" s="44"/>
      <c r="CI15" s="45"/>
    </row>
    <row r="16" spans="2:87" ht="49.95" customHeight="1">
      <c r="B16" s="13"/>
      <c r="C16" s="137"/>
      <c r="D16" s="138"/>
      <c r="E16" s="138"/>
      <c r="F16" s="138"/>
      <c r="G16" s="138"/>
      <c r="H16" s="139"/>
      <c r="I16" s="174"/>
      <c r="J16" s="41"/>
      <c r="K16" s="174"/>
      <c r="L16" s="41"/>
      <c r="M16" s="174"/>
      <c r="N16" s="41"/>
      <c r="O16" s="174"/>
      <c r="P16" s="41"/>
      <c r="Q16" s="174"/>
      <c r="R16" s="41"/>
      <c r="S16" s="174"/>
      <c r="T16" s="41"/>
      <c r="U16" s="174"/>
      <c r="V16" s="41"/>
      <c r="W16" s="174"/>
      <c r="X16" s="41"/>
      <c r="Y16" s="174"/>
      <c r="Z16" s="41"/>
      <c r="AA16" s="174"/>
      <c r="AB16" s="41"/>
      <c r="AC16" s="174"/>
      <c r="AD16" s="41"/>
      <c r="AE16" s="174"/>
      <c r="AF16" s="41"/>
      <c r="AG16" s="174"/>
      <c r="AH16" s="41"/>
      <c r="AI16" s="174"/>
      <c r="AJ16" s="41"/>
      <c r="AK16" s="174"/>
      <c r="AL16" s="41"/>
      <c r="AM16" s="174"/>
      <c r="AN16" s="41"/>
      <c r="AO16" s="174"/>
      <c r="AP16" s="41"/>
      <c r="AQ16" s="174"/>
      <c r="AR16" s="41"/>
      <c r="AS16" s="174"/>
      <c r="AT16" s="41"/>
      <c r="AU16" s="174"/>
      <c r="AV16" s="41"/>
      <c r="AW16" s="174"/>
      <c r="AX16" s="41"/>
      <c r="AY16" s="174"/>
      <c r="AZ16" s="41"/>
      <c r="BA16" s="174"/>
      <c r="BB16" s="41"/>
      <c r="BC16" s="174"/>
      <c r="BD16" s="41"/>
      <c r="BE16" s="174"/>
      <c r="BF16" s="41"/>
      <c r="BG16" s="174"/>
      <c r="BH16" s="41"/>
      <c r="BI16" s="174"/>
      <c r="BJ16" s="41"/>
      <c r="BK16" s="174"/>
      <c r="BL16" s="41"/>
      <c r="BM16" s="174"/>
      <c r="BN16" s="41"/>
      <c r="BO16" s="174"/>
      <c r="BP16" s="41"/>
      <c r="BQ16" s="174"/>
      <c r="BR16" s="41"/>
      <c r="BS16" s="174"/>
      <c r="BT16" s="41"/>
      <c r="BU16" s="174"/>
      <c r="BV16" s="41"/>
      <c r="BW16" s="174"/>
      <c r="BX16" s="41"/>
      <c r="BY16" s="174"/>
      <c r="BZ16" s="41"/>
      <c r="CA16" s="54" t="str">
        <f t="shared" si="0"/>
        <v/>
      </c>
      <c r="CB16" s="55"/>
      <c r="CC16" s="56"/>
      <c r="CD16" s="43"/>
      <c r="CE16" s="44"/>
      <c r="CF16" s="44"/>
      <c r="CG16" s="44"/>
      <c r="CH16" s="44"/>
      <c r="CI16" s="45"/>
    </row>
    <row r="17" spans="2:87" ht="49.95" customHeight="1">
      <c r="B17" s="13"/>
      <c r="C17" s="137"/>
      <c r="D17" s="138"/>
      <c r="E17" s="138"/>
      <c r="F17" s="138"/>
      <c r="G17" s="138"/>
      <c r="H17" s="139"/>
      <c r="I17" s="174"/>
      <c r="J17" s="41"/>
      <c r="K17" s="174"/>
      <c r="L17" s="41"/>
      <c r="M17" s="174"/>
      <c r="N17" s="41"/>
      <c r="O17" s="174"/>
      <c r="P17" s="41"/>
      <c r="Q17" s="174"/>
      <c r="R17" s="41"/>
      <c r="S17" s="174"/>
      <c r="T17" s="41"/>
      <c r="U17" s="174"/>
      <c r="V17" s="41"/>
      <c r="W17" s="174"/>
      <c r="X17" s="41"/>
      <c r="Y17" s="174"/>
      <c r="Z17" s="41"/>
      <c r="AA17" s="174"/>
      <c r="AB17" s="41"/>
      <c r="AC17" s="174"/>
      <c r="AD17" s="41"/>
      <c r="AE17" s="174"/>
      <c r="AF17" s="41"/>
      <c r="AG17" s="174"/>
      <c r="AH17" s="41"/>
      <c r="AI17" s="174"/>
      <c r="AJ17" s="41"/>
      <c r="AK17" s="174"/>
      <c r="AL17" s="41"/>
      <c r="AM17" s="174"/>
      <c r="AN17" s="41"/>
      <c r="AO17" s="174"/>
      <c r="AP17" s="41"/>
      <c r="AQ17" s="174"/>
      <c r="AR17" s="41"/>
      <c r="AS17" s="174"/>
      <c r="AT17" s="41"/>
      <c r="AU17" s="174"/>
      <c r="AV17" s="41"/>
      <c r="AW17" s="174"/>
      <c r="AX17" s="41"/>
      <c r="AY17" s="174"/>
      <c r="AZ17" s="41"/>
      <c r="BA17" s="174"/>
      <c r="BB17" s="41"/>
      <c r="BC17" s="174"/>
      <c r="BD17" s="41"/>
      <c r="BE17" s="174"/>
      <c r="BF17" s="41"/>
      <c r="BG17" s="174"/>
      <c r="BH17" s="41"/>
      <c r="BI17" s="174"/>
      <c r="BJ17" s="41"/>
      <c r="BK17" s="174"/>
      <c r="BL17" s="41"/>
      <c r="BM17" s="174"/>
      <c r="BN17" s="41"/>
      <c r="BO17" s="174"/>
      <c r="BP17" s="41"/>
      <c r="BQ17" s="174"/>
      <c r="BR17" s="41"/>
      <c r="BS17" s="174"/>
      <c r="BT17" s="41"/>
      <c r="BU17" s="174"/>
      <c r="BV17" s="41"/>
      <c r="BW17" s="174"/>
      <c r="BX17" s="41"/>
      <c r="BY17" s="174"/>
      <c r="BZ17" s="41"/>
      <c r="CA17" s="54" t="str">
        <f t="shared" si="0"/>
        <v/>
      </c>
      <c r="CB17" s="55"/>
      <c r="CC17" s="56"/>
      <c r="CD17" s="43"/>
      <c r="CE17" s="44"/>
      <c r="CF17" s="44"/>
      <c r="CG17" s="44"/>
      <c r="CH17" s="44"/>
      <c r="CI17" s="45"/>
    </row>
    <row r="18" spans="2:87" ht="49.95" customHeight="1">
      <c r="B18" s="13"/>
      <c r="C18" s="137"/>
      <c r="D18" s="138"/>
      <c r="E18" s="138"/>
      <c r="F18" s="138"/>
      <c r="G18" s="138"/>
      <c r="H18" s="139"/>
      <c r="I18" s="174"/>
      <c r="J18" s="41"/>
      <c r="K18" s="174"/>
      <c r="L18" s="41"/>
      <c r="M18" s="174"/>
      <c r="N18" s="41"/>
      <c r="O18" s="174"/>
      <c r="P18" s="41"/>
      <c r="Q18" s="174"/>
      <c r="R18" s="41"/>
      <c r="S18" s="174"/>
      <c r="T18" s="41"/>
      <c r="U18" s="174"/>
      <c r="V18" s="41"/>
      <c r="W18" s="174"/>
      <c r="X18" s="41"/>
      <c r="Y18" s="174"/>
      <c r="Z18" s="41"/>
      <c r="AA18" s="174"/>
      <c r="AB18" s="41"/>
      <c r="AC18" s="174"/>
      <c r="AD18" s="41"/>
      <c r="AE18" s="174"/>
      <c r="AF18" s="41"/>
      <c r="AG18" s="174"/>
      <c r="AH18" s="41"/>
      <c r="AI18" s="174"/>
      <c r="AJ18" s="41"/>
      <c r="AK18" s="174"/>
      <c r="AL18" s="41"/>
      <c r="AM18" s="174"/>
      <c r="AN18" s="41"/>
      <c r="AO18" s="174"/>
      <c r="AP18" s="41"/>
      <c r="AQ18" s="174"/>
      <c r="AR18" s="41"/>
      <c r="AS18" s="174"/>
      <c r="AT18" s="41"/>
      <c r="AU18" s="174"/>
      <c r="AV18" s="41"/>
      <c r="AW18" s="174"/>
      <c r="AX18" s="41"/>
      <c r="AY18" s="174"/>
      <c r="AZ18" s="41"/>
      <c r="BA18" s="174"/>
      <c r="BB18" s="41"/>
      <c r="BC18" s="174"/>
      <c r="BD18" s="41"/>
      <c r="BE18" s="174"/>
      <c r="BF18" s="41"/>
      <c r="BG18" s="174"/>
      <c r="BH18" s="41"/>
      <c r="BI18" s="174"/>
      <c r="BJ18" s="41"/>
      <c r="BK18" s="174"/>
      <c r="BL18" s="41"/>
      <c r="BM18" s="174"/>
      <c r="BN18" s="41"/>
      <c r="BO18" s="174"/>
      <c r="BP18" s="41"/>
      <c r="BQ18" s="174"/>
      <c r="BR18" s="41"/>
      <c r="BS18" s="174"/>
      <c r="BT18" s="41"/>
      <c r="BU18" s="174"/>
      <c r="BV18" s="41"/>
      <c r="BW18" s="174"/>
      <c r="BX18" s="41"/>
      <c r="BY18" s="174"/>
      <c r="BZ18" s="41"/>
      <c r="CA18" s="54" t="str">
        <f t="shared" si="0"/>
        <v/>
      </c>
      <c r="CB18" s="55"/>
      <c r="CC18" s="56"/>
      <c r="CD18" s="43"/>
      <c r="CE18" s="44"/>
      <c r="CF18" s="44"/>
      <c r="CG18" s="44"/>
      <c r="CH18" s="44"/>
      <c r="CI18" s="45"/>
    </row>
    <row r="19" spans="2:87" ht="49.95" customHeight="1">
      <c r="B19" s="13"/>
      <c r="C19" s="137"/>
      <c r="D19" s="138"/>
      <c r="E19" s="138"/>
      <c r="F19" s="138"/>
      <c r="G19" s="138"/>
      <c r="H19" s="139"/>
      <c r="I19" s="174"/>
      <c r="J19" s="41"/>
      <c r="K19" s="174"/>
      <c r="L19" s="41"/>
      <c r="M19" s="174"/>
      <c r="N19" s="41"/>
      <c r="O19" s="174"/>
      <c r="P19" s="41"/>
      <c r="Q19" s="174"/>
      <c r="R19" s="41"/>
      <c r="S19" s="174"/>
      <c r="T19" s="41"/>
      <c r="U19" s="174"/>
      <c r="V19" s="41"/>
      <c r="W19" s="174"/>
      <c r="X19" s="41"/>
      <c r="Y19" s="174"/>
      <c r="Z19" s="41"/>
      <c r="AA19" s="174"/>
      <c r="AB19" s="41"/>
      <c r="AC19" s="174"/>
      <c r="AD19" s="41"/>
      <c r="AE19" s="174"/>
      <c r="AF19" s="41"/>
      <c r="AG19" s="174"/>
      <c r="AH19" s="41"/>
      <c r="AI19" s="174"/>
      <c r="AJ19" s="41"/>
      <c r="AK19" s="174"/>
      <c r="AL19" s="41"/>
      <c r="AM19" s="174"/>
      <c r="AN19" s="41"/>
      <c r="AO19" s="174"/>
      <c r="AP19" s="41"/>
      <c r="AQ19" s="174"/>
      <c r="AR19" s="41"/>
      <c r="AS19" s="174"/>
      <c r="AT19" s="41"/>
      <c r="AU19" s="174"/>
      <c r="AV19" s="41"/>
      <c r="AW19" s="174"/>
      <c r="AX19" s="41"/>
      <c r="AY19" s="174"/>
      <c r="AZ19" s="41"/>
      <c r="BA19" s="174"/>
      <c r="BB19" s="41"/>
      <c r="BC19" s="174"/>
      <c r="BD19" s="41"/>
      <c r="BE19" s="174"/>
      <c r="BF19" s="41"/>
      <c r="BG19" s="174"/>
      <c r="BH19" s="41"/>
      <c r="BI19" s="174"/>
      <c r="BJ19" s="41"/>
      <c r="BK19" s="174"/>
      <c r="BL19" s="41"/>
      <c r="BM19" s="174"/>
      <c r="BN19" s="41"/>
      <c r="BO19" s="174"/>
      <c r="BP19" s="41"/>
      <c r="BQ19" s="174"/>
      <c r="BR19" s="41"/>
      <c r="BS19" s="174"/>
      <c r="BT19" s="41"/>
      <c r="BU19" s="174"/>
      <c r="BV19" s="41"/>
      <c r="BW19" s="174"/>
      <c r="BX19" s="41"/>
      <c r="BY19" s="174"/>
      <c r="BZ19" s="41"/>
      <c r="CA19" s="54" t="str">
        <f t="shared" si="0"/>
        <v/>
      </c>
      <c r="CB19" s="55"/>
      <c r="CC19" s="56"/>
      <c r="CD19" s="43"/>
      <c r="CE19" s="44"/>
      <c r="CF19" s="44"/>
      <c r="CG19" s="44"/>
      <c r="CH19" s="44"/>
      <c r="CI19" s="45"/>
    </row>
    <row r="20" spans="2:87" ht="49.95" customHeight="1">
      <c r="B20" s="13"/>
      <c r="C20" s="137"/>
      <c r="D20" s="138"/>
      <c r="E20" s="138"/>
      <c r="F20" s="138"/>
      <c r="G20" s="138"/>
      <c r="H20" s="139"/>
      <c r="I20" s="174"/>
      <c r="J20" s="41"/>
      <c r="K20" s="174"/>
      <c r="L20" s="41"/>
      <c r="M20" s="174"/>
      <c r="N20" s="41"/>
      <c r="O20" s="174"/>
      <c r="P20" s="41"/>
      <c r="Q20" s="174"/>
      <c r="R20" s="41"/>
      <c r="S20" s="174"/>
      <c r="T20" s="41"/>
      <c r="U20" s="174"/>
      <c r="V20" s="41"/>
      <c r="W20" s="174"/>
      <c r="X20" s="41"/>
      <c r="Y20" s="174"/>
      <c r="Z20" s="41"/>
      <c r="AA20" s="174"/>
      <c r="AB20" s="41"/>
      <c r="AC20" s="174"/>
      <c r="AD20" s="41"/>
      <c r="AE20" s="174"/>
      <c r="AF20" s="41"/>
      <c r="AG20" s="174"/>
      <c r="AH20" s="41"/>
      <c r="AI20" s="174"/>
      <c r="AJ20" s="41"/>
      <c r="AK20" s="174"/>
      <c r="AL20" s="41"/>
      <c r="AM20" s="174"/>
      <c r="AN20" s="41"/>
      <c r="AO20" s="174"/>
      <c r="AP20" s="41"/>
      <c r="AQ20" s="174"/>
      <c r="AR20" s="41"/>
      <c r="AS20" s="174"/>
      <c r="AT20" s="41"/>
      <c r="AU20" s="174"/>
      <c r="AV20" s="41"/>
      <c r="AW20" s="174"/>
      <c r="AX20" s="41"/>
      <c r="AY20" s="174"/>
      <c r="AZ20" s="41"/>
      <c r="BA20" s="174"/>
      <c r="BB20" s="41"/>
      <c r="BC20" s="174"/>
      <c r="BD20" s="41"/>
      <c r="BE20" s="174"/>
      <c r="BF20" s="41"/>
      <c r="BG20" s="174"/>
      <c r="BH20" s="41"/>
      <c r="BI20" s="174"/>
      <c r="BJ20" s="41"/>
      <c r="BK20" s="174"/>
      <c r="BL20" s="41"/>
      <c r="BM20" s="174"/>
      <c r="BN20" s="41"/>
      <c r="BO20" s="174"/>
      <c r="BP20" s="41"/>
      <c r="BQ20" s="174"/>
      <c r="BR20" s="41"/>
      <c r="BS20" s="174"/>
      <c r="BT20" s="41"/>
      <c r="BU20" s="174"/>
      <c r="BV20" s="41"/>
      <c r="BW20" s="174"/>
      <c r="BX20" s="41"/>
      <c r="BY20" s="174"/>
      <c r="BZ20" s="41"/>
      <c r="CA20" s="54" t="str">
        <f t="shared" si="0"/>
        <v/>
      </c>
      <c r="CB20" s="55"/>
      <c r="CC20" s="56"/>
      <c r="CD20" s="43"/>
      <c r="CE20" s="44"/>
      <c r="CF20" s="44"/>
      <c r="CG20" s="44"/>
      <c r="CH20" s="44"/>
      <c r="CI20" s="45"/>
    </row>
    <row r="21" spans="2:87" ht="49.95" customHeight="1">
      <c r="B21" s="13"/>
      <c r="C21" s="137"/>
      <c r="D21" s="138"/>
      <c r="E21" s="138"/>
      <c r="F21" s="138"/>
      <c r="G21" s="138"/>
      <c r="H21" s="139"/>
      <c r="I21" s="174"/>
      <c r="J21" s="41"/>
      <c r="K21" s="174"/>
      <c r="L21" s="41"/>
      <c r="M21" s="174"/>
      <c r="N21" s="41"/>
      <c r="O21" s="174"/>
      <c r="P21" s="41"/>
      <c r="Q21" s="174"/>
      <c r="R21" s="41"/>
      <c r="S21" s="174"/>
      <c r="T21" s="41"/>
      <c r="U21" s="174"/>
      <c r="V21" s="41"/>
      <c r="W21" s="174"/>
      <c r="X21" s="41"/>
      <c r="Y21" s="174"/>
      <c r="Z21" s="41"/>
      <c r="AA21" s="174"/>
      <c r="AB21" s="41"/>
      <c r="AC21" s="174"/>
      <c r="AD21" s="41"/>
      <c r="AE21" s="174"/>
      <c r="AF21" s="41"/>
      <c r="AG21" s="174"/>
      <c r="AH21" s="41"/>
      <c r="AI21" s="174"/>
      <c r="AJ21" s="41"/>
      <c r="AK21" s="174"/>
      <c r="AL21" s="41"/>
      <c r="AM21" s="174"/>
      <c r="AN21" s="41"/>
      <c r="AO21" s="174"/>
      <c r="AP21" s="41"/>
      <c r="AQ21" s="174"/>
      <c r="AR21" s="41"/>
      <c r="AS21" s="174"/>
      <c r="AT21" s="41"/>
      <c r="AU21" s="174"/>
      <c r="AV21" s="41"/>
      <c r="AW21" s="174"/>
      <c r="AX21" s="41"/>
      <c r="AY21" s="174"/>
      <c r="AZ21" s="41"/>
      <c r="BA21" s="174"/>
      <c r="BB21" s="41"/>
      <c r="BC21" s="174"/>
      <c r="BD21" s="41"/>
      <c r="BE21" s="174"/>
      <c r="BF21" s="41"/>
      <c r="BG21" s="174"/>
      <c r="BH21" s="41"/>
      <c r="BI21" s="174"/>
      <c r="BJ21" s="41"/>
      <c r="BK21" s="174"/>
      <c r="BL21" s="41"/>
      <c r="BM21" s="174"/>
      <c r="BN21" s="41"/>
      <c r="BO21" s="174"/>
      <c r="BP21" s="41"/>
      <c r="BQ21" s="174"/>
      <c r="BR21" s="41"/>
      <c r="BS21" s="174"/>
      <c r="BT21" s="41"/>
      <c r="BU21" s="174"/>
      <c r="BV21" s="41"/>
      <c r="BW21" s="174"/>
      <c r="BX21" s="41"/>
      <c r="BY21" s="174"/>
      <c r="BZ21" s="41"/>
      <c r="CA21" s="54" t="str">
        <f t="shared" si="0"/>
        <v/>
      </c>
      <c r="CB21" s="55"/>
      <c r="CC21" s="56"/>
      <c r="CD21" s="43"/>
      <c r="CE21" s="44"/>
      <c r="CF21" s="44"/>
      <c r="CG21" s="44"/>
      <c r="CH21" s="44"/>
      <c r="CI21" s="45"/>
    </row>
    <row r="22" spans="2:87" ht="49.95" customHeight="1">
      <c r="B22" s="13"/>
      <c r="C22" s="137"/>
      <c r="D22" s="138"/>
      <c r="E22" s="138"/>
      <c r="F22" s="138"/>
      <c r="G22" s="138"/>
      <c r="H22" s="139"/>
      <c r="I22" s="174"/>
      <c r="J22" s="41"/>
      <c r="K22" s="174"/>
      <c r="L22" s="41"/>
      <c r="M22" s="174"/>
      <c r="N22" s="41"/>
      <c r="O22" s="174"/>
      <c r="P22" s="41"/>
      <c r="Q22" s="174"/>
      <c r="R22" s="41"/>
      <c r="S22" s="174"/>
      <c r="T22" s="41"/>
      <c r="U22" s="174"/>
      <c r="V22" s="41"/>
      <c r="W22" s="174"/>
      <c r="X22" s="41"/>
      <c r="Y22" s="174"/>
      <c r="Z22" s="41"/>
      <c r="AA22" s="174"/>
      <c r="AB22" s="41"/>
      <c r="AC22" s="174"/>
      <c r="AD22" s="41"/>
      <c r="AE22" s="174"/>
      <c r="AF22" s="41"/>
      <c r="AG22" s="174"/>
      <c r="AH22" s="41"/>
      <c r="AI22" s="174"/>
      <c r="AJ22" s="41"/>
      <c r="AK22" s="174"/>
      <c r="AL22" s="41"/>
      <c r="AM22" s="174"/>
      <c r="AN22" s="41"/>
      <c r="AO22" s="174"/>
      <c r="AP22" s="41"/>
      <c r="AQ22" s="174"/>
      <c r="AR22" s="41"/>
      <c r="AS22" s="174"/>
      <c r="AT22" s="41"/>
      <c r="AU22" s="174"/>
      <c r="AV22" s="41"/>
      <c r="AW22" s="174"/>
      <c r="AX22" s="41"/>
      <c r="AY22" s="174"/>
      <c r="AZ22" s="41"/>
      <c r="BA22" s="174"/>
      <c r="BB22" s="41"/>
      <c r="BC22" s="174"/>
      <c r="BD22" s="41"/>
      <c r="BE22" s="174"/>
      <c r="BF22" s="41"/>
      <c r="BG22" s="174"/>
      <c r="BH22" s="41"/>
      <c r="BI22" s="174"/>
      <c r="BJ22" s="41"/>
      <c r="BK22" s="174"/>
      <c r="BL22" s="41"/>
      <c r="BM22" s="174"/>
      <c r="BN22" s="41"/>
      <c r="BO22" s="174"/>
      <c r="BP22" s="41"/>
      <c r="BQ22" s="174"/>
      <c r="BR22" s="41"/>
      <c r="BS22" s="174"/>
      <c r="BT22" s="41"/>
      <c r="BU22" s="174"/>
      <c r="BV22" s="41"/>
      <c r="BW22" s="174"/>
      <c r="BX22" s="41"/>
      <c r="BY22" s="174"/>
      <c r="BZ22" s="41"/>
      <c r="CA22" s="54" t="str">
        <f t="shared" si="0"/>
        <v/>
      </c>
      <c r="CB22" s="55"/>
      <c r="CC22" s="56"/>
      <c r="CD22" s="43"/>
      <c r="CE22" s="44"/>
      <c r="CF22" s="44"/>
      <c r="CG22" s="44"/>
      <c r="CH22" s="44"/>
      <c r="CI22" s="45"/>
    </row>
    <row r="23" spans="2:87" ht="49.95" customHeight="1">
      <c r="B23" s="13"/>
      <c r="C23" s="137"/>
      <c r="D23" s="138"/>
      <c r="E23" s="138"/>
      <c r="F23" s="138"/>
      <c r="G23" s="138"/>
      <c r="H23" s="139"/>
      <c r="I23" s="174"/>
      <c r="J23" s="41"/>
      <c r="K23" s="174"/>
      <c r="L23" s="41"/>
      <c r="M23" s="174"/>
      <c r="N23" s="41"/>
      <c r="O23" s="174"/>
      <c r="P23" s="41"/>
      <c r="Q23" s="174"/>
      <c r="R23" s="41"/>
      <c r="S23" s="174"/>
      <c r="T23" s="41"/>
      <c r="U23" s="174"/>
      <c r="V23" s="41"/>
      <c r="W23" s="174"/>
      <c r="X23" s="41"/>
      <c r="Y23" s="174"/>
      <c r="Z23" s="41"/>
      <c r="AA23" s="174"/>
      <c r="AB23" s="41"/>
      <c r="AC23" s="174"/>
      <c r="AD23" s="41"/>
      <c r="AE23" s="174"/>
      <c r="AF23" s="41"/>
      <c r="AG23" s="174"/>
      <c r="AH23" s="41"/>
      <c r="AI23" s="174"/>
      <c r="AJ23" s="41"/>
      <c r="AK23" s="174"/>
      <c r="AL23" s="41"/>
      <c r="AM23" s="174"/>
      <c r="AN23" s="41"/>
      <c r="AO23" s="174"/>
      <c r="AP23" s="41"/>
      <c r="AQ23" s="174"/>
      <c r="AR23" s="41"/>
      <c r="AS23" s="174"/>
      <c r="AT23" s="41"/>
      <c r="AU23" s="174"/>
      <c r="AV23" s="41"/>
      <c r="AW23" s="174"/>
      <c r="AX23" s="41"/>
      <c r="AY23" s="174"/>
      <c r="AZ23" s="41"/>
      <c r="BA23" s="174"/>
      <c r="BB23" s="41"/>
      <c r="BC23" s="174"/>
      <c r="BD23" s="41"/>
      <c r="BE23" s="174"/>
      <c r="BF23" s="41"/>
      <c r="BG23" s="174"/>
      <c r="BH23" s="41"/>
      <c r="BI23" s="174"/>
      <c r="BJ23" s="41"/>
      <c r="BK23" s="174"/>
      <c r="BL23" s="41"/>
      <c r="BM23" s="174"/>
      <c r="BN23" s="41"/>
      <c r="BO23" s="174"/>
      <c r="BP23" s="41"/>
      <c r="BQ23" s="174"/>
      <c r="BR23" s="41"/>
      <c r="BS23" s="174"/>
      <c r="BT23" s="41"/>
      <c r="BU23" s="174"/>
      <c r="BV23" s="41"/>
      <c r="BW23" s="174"/>
      <c r="BX23" s="41"/>
      <c r="BY23" s="174"/>
      <c r="BZ23" s="41"/>
      <c r="CA23" s="54" t="str">
        <f t="shared" si="0"/>
        <v/>
      </c>
      <c r="CB23" s="55"/>
      <c r="CC23" s="56"/>
      <c r="CD23" s="43"/>
      <c r="CE23" s="44"/>
      <c r="CF23" s="44"/>
      <c r="CG23" s="44"/>
      <c r="CH23" s="44"/>
      <c r="CI23" s="45"/>
    </row>
    <row r="24" spans="2:87" ht="49.95" customHeight="1">
      <c r="B24" s="13"/>
      <c r="C24" s="137"/>
      <c r="D24" s="138"/>
      <c r="E24" s="138"/>
      <c r="F24" s="138"/>
      <c r="G24" s="138"/>
      <c r="H24" s="139"/>
      <c r="I24" s="174"/>
      <c r="J24" s="41"/>
      <c r="K24" s="174"/>
      <c r="L24" s="41"/>
      <c r="M24" s="174"/>
      <c r="N24" s="41"/>
      <c r="O24" s="174"/>
      <c r="P24" s="41"/>
      <c r="Q24" s="174"/>
      <c r="R24" s="41"/>
      <c r="S24" s="174"/>
      <c r="T24" s="41"/>
      <c r="U24" s="174"/>
      <c r="V24" s="41"/>
      <c r="W24" s="174"/>
      <c r="X24" s="41"/>
      <c r="Y24" s="174"/>
      <c r="Z24" s="41"/>
      <c r="AA24" s="174"/>
      <c r="AB24" s="41"/>
      <c r="AC24" s="174"/>
      <c r="AD24" s="41"/>
      <c r="AE24" s="174"/>
      <c r="AF24" s="41"/>
      <c r="AG24" s="174"/>
      <c r="AH24" s="41"/>
      <c r="AI24" s="174"/>
      <c r="AJ24" s="41"/>
      <c r="AK24" s="174"/>
      <c r="AL24" s="41"/>
      <c r="AM24" s="174"/>
      <c r="AN24" s="41"/>
      <c r="AO24" s="174"/>
      <c r="AP24" s="41"/>
      <c r="AQ24" s="174"/>
      <c r="AR24" s="41"/>
      <c r="AS24" s="174"/>
      <c r="AT24" s="41"/>
      <c r="AU24" s="174"/>
      <c r="AV24" s="41"/>
      <c r="AW24" s="174"/>
      <c r="AX24" s="41"/>
      <c r="AY24" s="174"/>
      <c r="AZ24" s="41"/>
      <c r="BA24" s="174"/>
      <c r="BB24" s="41"/>
      <c r="BC24" s="174"/>
      <c r="BD24" s="41"/>
      <c r="BE24" s="174"/>
      <c r="BF24" s="41"/>
      <c r="BG24" s="174"/>
      <c r="BH24" s="41"/>
      <c r="BI24" s="174"/>
      <c r="BJ24" s="41"/>
      <c r="BK24" s="174"/>
      <c r="BL24" s="41"/>
      <c r="BM24" s="174"/>
      <c r="BN24" s="41"/>
      <c r="BO24" s="174"/>
      <c r="BP24" s="41"/>
      <c r="BQ24" s="174"/>
      <c r="BR24" s="41"/>
      <c r="BS24" s="174"/>
      <c r="BT24" s="41"/>
      <c r="BU24" s="174"/>
      <c r="BV24" s="41"/>
      <c r="BW24" s="174"/>
      <c r="BX24" s="41"/>
      <c r="BY24" s="174"/>
      <c r="BZ24" s="41"/>
      <c r="CA24" s="54" t="str">
        <f t="shared" si="0"/>
        <v/>
      </c>
      <c r="CB24" s="55"/>
      <c r="CC24" s="56"/>
      <c r="CD24" s="43"/>
      <c r="CE24" s="44"/>
      <c r="CF24" s="44"/>
      <c r="CG24" s="44"/>
      <c r="CH24" s="44"/>
      <c r="CI24" s="45"/>
    </row>
    <row r="25" spans="2:87" ht="49.95" customHeight="1">
      <c r="B25" s="13"/>
      <c r="C25" s="137"/>
      <c r="D25" s="138"/>
      <c r="E25" s="138"/>
      <c r="F25" s="138"/>
      <c r="G25" s="138"/>
      <c r="H25" s="139"/>
      <c r="I25" s="174"/>
      <c r="J25" s="41"/>
      <c r="K25" s="174"/>
      <c r="L25" s="41"/>
      <c r="M25" s="174"/>
      <c r="N25" s="41"/>
      <c r="O25" s="174"/>
      <c r="P25" s="41"/>
      <c r="Q25" s="174"/>
      <c r="R25" s="41"/>
      <c r="S25" s="174"/>
      <c r="T25" s="41"/>
      <c r="U25" s="174"/>
      <c r="V25" s="41"/>
      <c r="W25" s="174"/>
      <c r="X25" s="41"/>
      <c r="Y25" s="174"/>
      <c r="Z25" s="41"/>
      <c r="AA25" s="174"/>
      <c r="AB25" s="41"/>
      <c r="AC25" s="174"/>
      <c r="AD25" s="41"/>
      <c r="AE25" s="174"/>
      <c r="AF25" s="41"/>
      <c r="AG25" s="174"/>
      <c r="AH25" s="41"/>
      <c r="AI25" s="174"/>
      <c r="AJ25" s="41"/>
      <c r="AK25" s="174"/>
      <c r="AL25" s="41"/>
      <c r="AM25" s="174"/>
      <c r="AN25" s="41"/>
      <c r="AO25" s="174"/>
      <c r="AP25" s="41"/>
      <c r="AQ25" s="174"/>
      <c r="AR25" s="41"/>
      <c r="AS25" s="174"/>
      <c r="AT25" s="41"/>
      <c r="AU25" s="174"/>
      <c r="AV25" s="41"/>
      <c r="AW25" s="174"/>
      <c r="AX25" s="41"/>
      <c r="AY25" s="174"/>
      <c r="AZ25" s="41"/>
      <c r="BA25" s="174"/>
      <c r="BB25" s="41"/>
      <c r="BC25" s="174"/>
      <c r="BD25" s="41"/>
      <c r="BE25" s="174"/>
      <c r="BF25" s="41"/>
      <c r="BG25" s="174"/>
      <c r="BH25" s="41"/>
      <c r="BI25" s="174"/>
      <c r="BJ25" s="41"/>
      <c r="BK25" s="174"/>
      <c r="BL25" s="41"/>
      <c r="BM25" s="174"/>
      <c r="BN25" s="41"/>
      <c r="BO25" s="174"/>
      <c r="BP25" s="41"/>
      <c r="BQ25" s="174"/>
      <c r="BR25" s="41"/>
      <c r="BS25" s="174"/>
      <c r="BT25" s="41"/>
      <c r="BU25" s="174"/>
      <c r="BV25" s="41"/>
      <c r="BW25" s="174"/>
      <c r="BX25" s="41"/>
      <c r="BY25" s="174"/>
      <c r="BZ25" s="41"/>
      <c r="CA25" s="54" t="str">
        <f t="shared" si="0"/>
        <v/>
      </c>
      <c r="CB25" s="55"/>
      <c r="CC25" s="56"/>
      <c r="CD25" s="43"/>
      <c r="CE25" s="44"/>
      <c r="CF25" s="44"/>
      <c r="CG25" s="44"/>
      <c r="CH25" s="44"/>
      <c r="CI25" s="45"/>
    </row>
    <row r="26" spans="2:87" ht="49.95" customHeight="1">
      <c r="B26" s="13"/>
      <c r="C26" s="137"/>
      <c r="D26" s="138"/>
      <c r="E26" s="138"/>
      <c r="F26" s="138"/>
      <c r="G26" s="138"/>
      <c r="H26" s="139"/>
      <c r="I26" s="174"/>
      <c r="J26" s="41"/>
      <c r="K26" s="174"/>
      <c r="L26" s="41"/>
      <c r="M26" s="174"/>
      <c r="N26" s="41"/>
      <c r="O26" s="174"/>
      <c r="P26" s="41"/>
      <c r="Q26" s="174"/>
      <c r="R26" s="41"/>
      <c r="S26" s="174"/>
      <c r="T26" s="41"/>
      <c r="U26" s="174"/>
      <c r="V26" s="41"/>
      <c r="W26" s="174"/>
      <c r="X26" s="41"/>
      <c r="Y26" s="174"/>
      <c r="Z26" s="41"/>
      <c r="AA26" s="174"/>
      <c r="AB26" s="41"/>
      <c r="AC26" s="174"/>
      <c r="AD26" s="41"/>
      <c r="AE26" s="174"/>
      <c r="AF26" s="41"/>
      <c r="AG26" s="174"/>
      <c r="AH26" s="41"/>
      <c r="AI26" s="174"/>
      <c r="AJ26" s="41"/>
      <c r="AK26" s="174"/>
      <c r="AL26" s="41"/>
      <c r="AM26" s="174"/>
      <c r="AN26" s="41"/>
      <c r="AO26" s="174"/>
      <c r="AP26" s="41"/>
      <c r="AQ26" s="174"/>
      <c r="AR26" s="41"/>
      <c r="AS26" s="174"/>
      <c r="AT26" s="41"/>
      <c r="AU26" s="174"/>
      <c r="AV26" s="41"/>
      <c r="AW26" s="174"/>
      <c r="AX26" s="41"/>
      <c r="AY26" s="174"/>
      <c r="AZ26" s="41"/>
      <c r="BA26" s="174"/>
      <c r="BB26" s="41"/>
      <c r="BC26" s="174"/>
      <c r="BD26" s="41"/>
      <c r="BE26" s="174"/>
      <c r="BF26" s="41"/>
      <c r="BG26" s="174"/>
      <c r="BH26" s="41"/>
      <c r="BI26" s="174"/>
      <c r="BJ26" s="41"/>
      <c r="BK26" s="174"/>
      <c r="BL26" s="41"/>
      <c r="BM26" s="174"/>
      <c r="BN26" s="41"/>
      <c r="BO26" s="174"/>
      <c r="BP26" s="41"/>
      <c r="BQ26" s="174"/>
      <c r="BR26" s="41"/>
      <c r="BS26" s="174"/>
      <c r="BT26" s="41"/>
      <c r="BU26" s="174"/>
      <c r="BV26" s="41"/>
      <c r="BW26" s="174"/>
      <c r="BX26" s="41"/>
      <c r="BY26" s="174"/>
      <c r="BZ26" s="41"/>
      <c r="CA26" s="54" t="str">
        <f t="shared" si="0"/>
        <v/>
      </c>
      <c r="CB26" s="55"/>
      <c r="CC26" s="56"/>
      <c r="CD26" s="43"/>
      <c r="CE26" s="44"/>
      <c r="CF26" s="44"/>
      <c r="CG26" s="44"/>
      <c r="CH26" s="44"/>
      <c r="CI26" s="45"/>
    </row>
    <row r="27" spans="2:87" ht="49.95" customHeight="1">
      <c r="B27" s="13"/>
      <c r="C27" s="137"/>
      <c r="D27" s="138"/>
      <c r="E27" s="138"/>
      <c r="F27" s="138"/>
      <c r="G27" s="138"/>
      <c r="H27" s="139"/>
      <c r="I27" s="174"/>
      <c r="J27" s="41"/>
      <c r="K27" s="174"/>
      <c r="L27" s="41"/>
      <c r="M27" s="174"/>
      <c r="N27" s="41"/>
      <c r="O27" s="174"/>
      <c r="P27" s="41"/>
      <c r="Q27" s="174"/>
      <c r="R27" s="41"/>
      <c r="S27" s="174"/>
      <c r="T27" s="41"/>
      <c r="U27" s="174"/>
      <c r="V27" s="41"/>
      <c r="W27" s="174"/>
      <c r="X27" s="41"/>
      <c r="Y27" s="174"/>
      <c r="Z27" s="41"/>
      <c r="AA27" s="174"/>
      <c r="AB27" s="41"/>
      <c r="AC27" s="174"/>
      <c r="AD27" s="41"/>
      <c r="AE27" s="174"/>
      <c r="AF27" s="41"/>
      <c r="AG27" s="174"/>
      <c r="AH27" s="41"/>
      <c r="AI27" s="174"/>
      <c r="AJ27" s="41"/>
      <c r="AK27" s="174"/>
      <c r="AL27" s="41"/>
      <c r="AM27" s="174"/>
      <c r="AN27" s="41"/>
      <c r="AO27" s="174"/>
      <c r="AP27" s="41"/>
      <c r="AQ27" s="174"/>
      <c r="AR27" s="41"/>
      <c r="AS27" s="174"/>
      <c r="AT27" s="41"/>
      <c r="AU27" s="174"/>
      <c r="AV27" s="41"/>
      <c r="AW27" s="174"/>
      <c r="AX27" s="41"/>
      <c r="AY27" s="174"/>
      <c r="AZ27" s="41"/>
      <c r="BA27" s="174"/>
      <c r="BB27" s="41"/>
      <c r="BC27" s="174"/>
      <c r="BD27" s="41"/>
      <c r="BE27" s="174"/>
      <c r="BF27" s="41"/>
      <c r="BG27" s="174"/>
      <c r="BH27" s="41"/>
      <c r="BI27" s="174"/>
      <c r="BJ27" s="41"/>
      <c r="BK27" s="174"/>
      <c r="BL27" s="41"/>
      <c r="BM27" s="174"/>
      <c r="BN27" s="41"/>
      <c r="BO27" s="174"/>
      <c r="BP27" s="41"/>
      <c r="BQ27" s="174"/>
      <c r="BR27" s="41"/>
      <c r="BS27" s="174"/>
      <c r="BT27" s="41"/>
      <c r="BU27" s="174"/>
      <c r="BV27" s="41"/>
      <c r="BW27" s="174"/>
      <c r="BX27" s="41"/>
      <c r="BY27" s="174"/>
      <c r="BZ27" s="41"/>
      <c r="CA27" s="54" t="str">
        <f t="shared" si="0"/>
        <v/>
      </c>
      <c r="CB27" s="55"/>
      <c r="CC27" s="56"/>
      <c r="CD27" s="43"/>
      <c r="CE27" s="44"/>
      <c r="CF27" s="44"/>
      <c r="CG27" s="44"/>
      <c r="CH27" s="44"/>
      <c r="CI27" s="45"/>
    </row>
    <row r="28" spans="2:87" ht="49.95" customHeight="1">
      <c r="B28" s="13"/>
      <c r="C28" s="137"/>
      <c r="D28" s="138"/>
      <c r="E28" s="138"/>
      <c r="F28" s="138"/>
      <c r="G28" s="138"/>
      <c r="H28" s="139"/>
      <c r="I28" s="174"/>
      <c r="J28" s="41"/>
      <c r="K28" s="174"/>
      <c r="L28" s="41"/>
      <c r="M28" s="174"/>
      <c r="N28" s="41"/>
      <c r="O28" s="174"/>
      <c r="P28" s="41"/>
      <c r="Q28" s="174"/>
      <c r="R28" s="41"/>
      <c r="S28" s="174"/>
      <c r="T28" s="41"/>
      <c r="U28" s="174"/>
      <c r="V28" s="41"/>
      <c r="W28" s="174"/>
      <c r="X28" s="41"/>
      <c r="Y28" s="174"/>
      <c r="Z28" s="41"/>
      <c r="AA28" s="174"/>
      <c r="AB28" s="41"/>
      <c r="AC28" s="174"/>
      <c r="AD28" s="41"/>
      <c r="AE28" s="174"/>
      <c r="AF28" s="41"/>
      <c r="AG28" s="174"/>
      <c r="AH28" s="41"/>
      <c r="AI28" s="174"/>
      <c r="AJ28" s="41"/>
      <c r="AK28" s="174"/>
      <c r="AL28" s="41"/>
      <c r="AM28" s="174"/>
      <c r="AN28" s="41"/>
      <c r="AO28" s="174"/>
      <c r="AP28" s="41"/>
      <c r="AQ28" s="174"/>
      <c r="AR28" s="41"/>
      <c r="AS28" s="174"/>
      <c r="AT28" s="41"/>
      <c r="AU28" s="174"/>
      <c r="AV28" s="41"/>
      <c r="AW28" s="174"/>
      <c r="AX28" s="41"/>
      <c r="AY28" s="174"/>
      <c r="AZ28" s="41"/>
      <c r="BA28" s="174"/>
      <c r="BB28" s="41"/>
      <c r="BC28" s="174"/>
      <c r="BD28" s="41"/>
      <c r="BE28" s="174"/>
      <c r="BF28" s="41"/>
      <c r="BG28" s="174"/>
      <c r="BH28" s="41"/>
      <c r="BI28" s="174"/>
      <c r="BJ28" s="41"/>
      <c r="BK28" s="174"/>
      <c r="BL28" s="41"/>
      <c r="BM28" s="174"/>
      <c r="BN28" s="41"/>
      <c r="BO28" s="174"/>
      <c r="BP28" s="41"/>
      <c r="BQ28" s="174"/>
      <c r="BR28" s="41"/>
      <c r="BS28" s="174"/>
      <c r="BT28" s="41"/>
      <c r="BU28" s="174"/>
      <c r="BV28" s="41"/>
      <c r="BW28" s="174"/>
      <c r="BX28" s="41"/>
      <c r="BY28" s="174"/>
      <c r="BZ28" s="41"/>
      <c r="CA28" s="54" t="str">
        <f t="shared" si="0"/>
        <v/>
      </c>
      <c r="CB28" s="55"/>
      <c r="CC28" s="56"/>
      <c r="CD28" s="43"/>
      <c r="CE28" s="44"/>
      <c r="CF28" s="44"/>
      <c r="CG28" s="44"/>
      <c r="CH28" s="44"/>
      <c r="CI28" s="45"/>
    </row>
    <row r="29" spans="2:87" ht="49.95" customHeight="1">
      <c r="B29" s="13"/>
      <c r="C29" s="137"/>
      <c r="D29" s="138"/>
      <c r="E29" s="138"/>
      <c r="F29" s="138"/>
      <c r="G29" s="138"/>
      <c r="H29" s="139"/>
      <c r="I29" s="174"/>
      <c r="J29" s="41"/>
      <c r="K29" s="174"/>
      <c r="L29" s="41"/>
      <c r="M29" s="174"/>
      <c r="N29" s="41"/>
      <c r="O29" s="174"/>
      <c r="P29" s="41"/>
      <c r="Q29" s="174"/>
      <c r="R29" s="41"/>
      <c r="S29" s="174"/>
      <c r="T29" s="41"/>
      <c r="U29" s="174"/>
      <c r="V29" s="41"/>
      <c r="W29" s="174"/>
      <c r="X29" s="41"/>
      <c r="Y29" s="174"/>
      <c r="Z29" s="41"/>
      <c r="AA29" s="174"/>
      <c r="AB29" s="41"/>
      <c r="AC29" s="174"/>
      <c r="AD29" s="41"/>
      <c r="AE29" s="174"/>
      <c r="AF29" s="41"/>
      <c r="AG29" s="174"/>
      <c r="AH29" s="41"/>
      <c r="AI29" s="174"/>
      <c r="AJ29" s="41"/>
      <c r="AK29" s="174"/>
      <c r="AL29" s="41"/>
      <c r="AM29" s="174"/>
      <c r="AN29" s="41"/>
      <c r="AO29" s="174"/>
      <c r="AP29" s="41"/>
      <c r="AQ29" s="174"/>
      <c r="AR29" s="41"/>
      <c r="AS29" s="174"/>
      <c r="AT29" s="41"/>
      <c r="AU29" s="174"/>
      <c r="AV29" s="41"/>
      <c r="AW29" s="174"/>
      <c r="AX29" s="41"/>
      <c r="AY29" s="174"/>
      <c r="AZ29" s="41"/>
      <c r="BA29" s="174"/>
      <c r="BB29" s="41"/>
      <c r="BC29" s="174"/>
      <c r="BD29" s="41"/>
      <c r="BE29" s="174"/>
      <c r="BF29" s="41"/>
      <c r="BG29" s="174"/>
      <c r="BH29" s="41"/>
      <c r="BI29" s="174"/>
      <c r="BJ29" s="41"/>
      <c r="BK29" s="174"/>
      <c r="BL29" s="41"/>
      <c r="BM29" s="174"/>
      <c r="BN29" s="41"/>
      <c r="BO29" s="174"/>
      <c r="BP29" s="41"/>
      <c r="BQ29" s="174"/>
      <c r="BR29" s="41"/>
      <c r="BS29" s="174"/>
      <c r="BT29" s="41"/>
      <c r="BU29" s="174"/>
      <c r="BV29" s="41"/>
      <c r="BW29" s="174"/>
      <c r="BX29" s="41"/>
      <c r="BY29" s="174"/>
      <c r="BZ29" s="41"/>
      <c r="CA29" s="54" t="str">
        <f t="shared" si="0"/>
        <v/>
      </c>
      <c r="CB29" s="55"/>
      <c r="CC29" s="56"/>
      <c r="CD29" s="43"/>
      <c r="CE29" s="44"/>
      <c r="CF29" s="44"/>
      <c r="CG29" s="44"/>
      <c r="CH29" s="44"/>
      <c r="CI29" s="45"/>
    </row>
    <row r="30" spans="2:87" ht="49.95" customHeight="1">
      <c r="B30" s="13"/>
      <c r="C30" s="137"/>
      <c r="D30" s="138"/>
      <c r="E30" s="138"/>
      <c r="F30" s="138"/>
      <c r="G30" s="138"/>
      <c r="H30" s="139"/>
      <c r="I30" s="174"/>
      <c r="J30" s="41"/>
      <c r="K30" s="174"/>
      <c r="L30" s="41"/>
      <c r="M30" s="174"/>
      <c r="N30" s="41"/>
      <c r="O30" s="174"/>
      <c r="P30" s="41"/>
      <c r="Q30" s="174"/>
      <c r="R30" s="41"/>
      <c r="S30" s="174"/>
      <c r="T30" s="41"/>
      <c r="U30" s="174"/>
      <c r="V30" s="41"/>
      <c r="W30" s="174"/>
      <c r="X30" s="41"/>
      <c r="Y30" s="174"/>
      <c r="Z30" s="41"/>
      <c r="AA30" s="174"/>
      <c r="AB30" s="41"/>
      <c r="AC30" s="174"/>
      <c r="AD30" s="41"/>
      <c r="AE30" s="174"/>
      <c r="AF30" s="41"/>
      <c r="AG30" s="174"/>
      <c r="AH30" s="41"/>
      <c r="AI30" s="174"/>
      <c r="AJ30" s="41"/>
      <c r="AK30" s="174"/>
      <c r="AL30" s="41"/>
      <c r="AM30" s="174"/>
      <c r="AN30" s="41"/>
      <c r="AO30" s="174"/>
      <c r="AP30" s="41"/>
      <c r="AQ30" s="174"/>
      <c r="AR30" s="41"/>
      <c r="AS30" s="174"/>
      <c r="AT30" s="41"/>
      <c r="AU30" s="174"/>
      <c r="AV30" s="41"/>
      <c r="AW30" s="174"/>
      <c r="AX30" s="41"/>
      <c r="AY30" s="174"/>
      <c r="AZ30" s="41"/>
      <c r="BA30" s="174"/>
      <c r="BB30" s="41"/>
      <c r="BC30" s="174"/>
      <c r="BD30" s="41"/>
      <c r="BE30" s="174"/>
      <c r="BF30" s="41"/>
      <c r="BG30" s="174"/>
      <c r="BH30" s="41"/>
      <c r="BI30" s="174"/>
      <c r="BJ30" s="41"/>
      <c r="BK30" s="174"/>
      <c r="BL30" s="41"/>
      <c r="BM30" s="174"/>
      <c r="BN30" s="41"/>
      <c r="BO30" s="174"/>
      <c r="BP30" s="41"/>
      <c r="BQ30" s="174"/>
      <c r="BR30" s="41"/>
      <c r="BS30" s="174"/>
      <c r="BT30" s="41"/>
      <c r="BU30" s="174"/>
      <c r="BV30" s="41"/>
      <c r="BW30" s="174"/>
      <c r="BX30" s="41"/>
      <c r="BY30" s="174"/>
      <c r="BZ30" s="41"/>
      <c r="CA30" s="54" t="str">
        <f t="shared" si="0"/>
        <v/>
      </c>
      <c r="CB30" s="55"/>
      <c r="CC30" s="56"/>
      <c r="CD30" s="43"/>
      <c r="CE30" s="44"/>
      <c r="CF30" s="44"/>
      <c r="CG30" s="44"/>
      <c r="CH30" s="44"/>
      <c r="CI30" s="45"/>
    </row>
    <row r="31" spans="2:87" ht="49.95" customHeight="1">
      <c r="B31" s="13"/>
      <c r="C31" s="137"/>
      <c r="D31" s="138"/>
      <c r="E31" s="138"/>
      <c r="F31" s="138"/>
      <c r="G31" s="138"/>
      <c r="H31" s="139"/>
      <c r="I31" s="174"/>
      <c r="J31" s="41"/>
      <c r="K31" s="174"/>
      <c r="L31" s="41"/>
      <c r="M31" s="174"/>
      <c r="N31" s="41"/>
      <c r="O31" s="174"/>
      <c r="P31" s="41"/>
      <c r="Q31" s="174"/>
      <c r="R31" s="41"/>
      <c r="S31" s="174"/>
      <c r="T31" s="41"/>
      <c r="U31" s="174"/>
      <c r="V31" s="41"/>
      <c r="W31" s="174"/>
      <c r="X31" s="41"/>
      <c r="Y31" s="174"/>
      <c r="Z31" s="41"/>
      <c r="AA31" s="174"/>
      <c r="AB31" s="41"/>
      <c r="AC31" s="174"/>
      <c r="AD31" s="41"/>
      <c r="AE31" s="174"/>
      <c r="AF31" s="41"/>
      <c r="AG31" s="174"/>
      <c r="AH31" s="41"/>
      <c r="AI31" s="174"/>
      <c r="AJ31" s="41"/>
      <c r="AK31" s="174"/>
      <c r="AL31" s="41"/>
      <c r="AM31" s="174"/>
      <c r="AN31" s="41"/>
      <c r="AO31" s="174"/>
      <c r="AP31" s="41"/>
      <c r="AQ31" s="174"/>
      <c r="AR31" s="41"/>
      <c r="AS31" s="174"/>
      <c r="AT31" s="41"/>
      <c r="AU31" s="174"/>
      <c r="AV31" s="41"/>
      <c r="AW31" s="174"/>
      <c r="AX31" s="41"/>
      <c r="AY31" s="174"/>
      <c r="AZ31" s="41"/>
      <c r="BA31" s="174"/>
      <c r="BB31" s="41"/>
      <c r="BC31" s="174"/>
      <c r="BD31" s="41"/>
      <c r="BE31" s="174"/>
      <c r="BF31" s="41"/>
      <c r="BG31" s="174"/>
      <c r="BH31" s="41"/>
      <c r="BI31" s="174"/>
      <c r="BJ31" s="41"/>
      <c r="BK31" s="174"/>
      <c r="BL31" s="41"/>
      <c r="BM31" s="174"/>
      <c r="BN31" s="41"/>
      <c r="BO31" s="174"/>
      <c r="BP31" s="41"/>
      <c r="BQ31" s="174"/>
      <c r="BR31" s="41"/>
      <c r="BS31" s="174"/>
      <c r="BT31" s="41"/>
      <c r="BU31" s="174"/>
      <c r="BV31" s="41"/>
      <c r="BW31" s="174"/>
      <c r="BX31" s="41"/>
      <c r="BY31" s="174"/>
      <c r="BZ31" s="41"/>
      <c r="CA31" s="54" t="str">
        <f t="shared" si="0"/>
        <v/>
      </c>
      <c r="CB31" s="55"/>
      <c r="CC31" s="56"/>
      <c r="CD31" s="43"/>
      <c r="CE31" s="44"/>
      <c r="CF31" s="44"/>
      <c r="CG31" s="44"/>
      <c r="CH31" s="44"/>
      <c r="CI31" s="45"/>
    </row>
    <row r="32" spans="2:87" ht="49.95" customHeight="1">
      <c r="B32" s="13"/>
      <c r="C32" s="137"/>
      <c r="D32" s="138"/>
      <c r="E32" s="138"/>
      <c r="F32" s="138"/>
      <c r="G32" s="138"/>
      <c r="H32" s="139"/>
      <c r="I32" s="174"/>
      <c r="J32" s="41"/>
      <c r="K32" s="174"/>
      <c r="L32" s="41"/>
      <c r="M32" s="174"/>
      <c r="N32" s="41"/>
      <c r="O32" s="174"/>
      <c r="P32" s="41"/>
      <c r="Q32" s="174"/>
      <c r="R32" s="41"/>
      <c r="S32" s="174"/>
      <c r="T32" s="41"/>
      <c r="U32" s="174"/>
      <c r="V32" s="41"/>
      <c r="W32" s="174"/>
      <c r="X32" s="41"/>
      <c r="Y32" s="174"/>
      <c r="Z32" s="41"/>
      <c r="AA32" s="174"/>
      <c r="AB32" s="41"/>
      <c r="AC32" s="174"/>
      <c r="AD32" s="41"/>
      <c r="AE32" s="174"/>
      <c r="AF32" s="41"/>
      <c r="AG32" s="174"/>
      <c r="AH32" s="41"/>
      <c r="AI32" s="174"/>
      <c r="AJ32" s="41"/>
      <c r="AK32" s="174"/>
      <c r="AL32" s="41"/>
      <c r="AM32" s="174"/>
      <c r="AN32" s="41"/>
      <c r="AO32" s="174"/>
      <c r="AP32" s="41"/>
      <c r="AQ32" s="174"/>
      <c r="AR32" s="41"/>
      <c r="AS32" s="174"/>
      <c r="AT32" s="41"/>
      <c r="AU32" s="174"/>
      <c r="AV32" s="41"/>
      <c r="AW32" s="174"/>
      <c r="AX32" s="41"/>
      <c r="AY32" s="174"/>
      <c r="AZ32" s="41"/>
      <c r="BA32" s="174"/>
      <c r="BB32" s="41"/>
      <c r="BC32" s="174"/>
      <c r="BD32" s="41"/>
      <c r="BE32" s="174"/>
      <c r="BF32" s="41"/>
      <c r="BG32" s="174"/>
      <c r="BH32" s="41"/>
      <c r="BI32" s="174"/>
      <c r="BJ32" s="41"/>
      <c r="BK32" s="174"/>
      <c r="BL32" s="41"/>
      <c r="BM32" s="174"/>
      <c r="BN32" s="41"/>
      <c r="BO32" s="174"/>
      <c r="BP32" s="41"/>
      <c r="BQ32" s="174"/>
      <c r="BR32" s="41"/>
      <c r="BS32" s="174"/>
      <c r="BT32" s="41"/>
      <c r="BU32" s="174"/>
      <c r="BV32" s="41"/>
      <c r="BW32" s="174"/>
      <c r="BX32" s="41"/>
      <c r="BY32" s="174"/>
      <c r="BZ32" s="41"/>
      <c r="CA32" s="54" t="str">
        <f t="shared" si="0"/>
        <v/>
      </c>
      <c r="CB32" s="55"/>
      <c r="CC32" s="56"/>
      <c r="CD32" s="43"/>
      <c r="CE32" s="44"/>
      <c r="CF32" s="44"/>
      <c r="CG32" s="44"/>
      <c r="CH32" s="44"/>
      <c r="CI32" s="45"/>
    </row>
    <row r="33" spans="2:87" ht="49.95" customHeight="1">
      <c r="B33" s="13"/>
      <c r="C33" s="137"/>
      <c r="D33" s="138"/>
      <c r="E33" s="138"/>
      <c r="F33" s="138"/>
      <c r="G33" s="138"/>
      <c r="H33" s="139"/>
      <c r="I33" s="174"/>
      <c r="J33" s="41"/>
      <c r="K33" s="174"/>
      <c r="L33" s="41"/>
      <c r="M33" s="174"/>
      <c r="N33" s="41"/>
      <c r="O33" s="174"/>
      <c r="P33" s="41"/>
      <c r="Q33" s="174"/>
      <c r="R33" s="41"/>
      <c r="S33" s="174"/>
      <c r="T33" s="41"/>
      <c r="U33" s="174"/>
      <c r="V33" s="41"/>
      <c r="W33" s="174"/>
      <c r="X33" s="41"/>
      <c r="Y33" s="174"/>
      <c r="Z33" s="41"/>
      <c r="AA33" s="174"/>
      <c r="AB33" s="41"/>
      <c r="AC33" s="174"/>
      <c r="AD33" s="41"/>
      <c r="AE33" s="174"/>
      <c r="AF33" s="41"/>
      <c r="AG33" s="174"/>
      <c r="AH33" s="41"/>
      <c r="AI33" s="174"/>
      <c r="AJ33" s="41"/>
      <c r="AK33" s="174"/>
      <c r="AL33" s="41"/>
      <c r="AM33" s="174"/>
      <c r="AN33" s="41"/>
      <c r="AO33" s="174"/>
      <c r="AP33" s="41"/>
      <c r="AQ33" s="174"/>
      <c r="AR33" s="41"/>
      <c r="AS33" s="174"/>
      <c r="AT33" s="41"/>
      <c r="AU33" s="174"/>
      <c r="AV33" s="41"/>
      <c r="AW33" s="174"/>
      <c r="AX33" s="41"/>
      <c r="AY33" s="174"/>
      <c r="AZ33" s="41"/>
      <c r="BA33" s="174"/>
      <c r="BB33" s="41"/>
      <c r="BC33" s="174"/>
      <c r="BD33" s="41"/>
      <c r="BE33" s="174"/>
      <c r="BF33" s="41"/>
      <c r="BG33" s="174"/>
      <c r="BH33" s="41"/>
      <c r="BI33" s="174"/>
      <c r="BJ33" s="41"/>
      <c r="BK33" s="174"/>
      <c r="BL33" s="41"/>
      <c r="BM33" s="174"/>
      <c r="BN33" s="41"/>
      <c r="BO33" s="174"/>
      <c r="BP33" s="41"/>
      <c r="BQ33" s="174"/>
      <c r="BR33" s="41"/>
      <c r="BS33" s="174"/>
      <c r="BT33" s="41"/>
      <c r="BU33" s="174"/>
      <c r="BV33" s="41"/>
      <c r="BW33" s="174"/>
      <c r="BX33" s="41"/>
      <c r="BY33" s="174"/>
      <c r="BZ33" s="41"/>
      <c r="CA33" s="54" t="str">
        <f t="shared" si="0"/>
        <v/>
      </c>
      <c r="CB33" s="55"/>
      <c r="CC33" s="56"/>
      <c r="CD33" s="43"/>
      <c r="CE33" s="44"/>
      <c r="CF33" s="44"/>
      <c r="CG33" s="44"/>
      <c r="CH33" s="44"/>
      <c r="CI33" s="45"/>
    </row>
    <row r="34" spans="2:87" ht="49.95" customHeight="1">
      <c r="B34" s="13"/>
      <c r="C34" s="137"/>
      <c r="D34" s="138"/>
      <c r="E34" s="138"/>
      <c r="F34" s="138"/>
      <c r="G34" s="138"/>
      <c r="H34" s="139"/>
      <c r="I34" s="174"/>
      <c r="J34" s="41"/>
      <c r="K34" s="174"/>
      <c r="L34" s="41"/>
      <c r="M34" s="174"/>
      <c r="N34" s="41"/>
      <c r="O34" s="174"/>
      <c r="P34" s="41"/>
      <c r="Q34" s="174"/>
      <c r="R34" s="41"/>
      <c r="S34" s="174"/>
      <c r="T34" s="41"/>
      <c r="U34" s="174"/>
      <c r="V34" s="41"/>
      <c r="W34" s="174"/>
      <c r="X34" s="41"/>
      <c r="Y34" s="174"/>
      <c r="Z34" s="41"/>
      <c r="AA34" s="174"/>
      <c r="AB34" s="41"/>
      <c r="AC34" s="174"/>
      <c r="AD34" s="41"/>
      <c r="AE34" s="174"/>
      <c r="AF34" s="41"/>
      <c r="AG34" s="174"/>
      <c r="AH34" s="41"/>
      <c r="AI34" s="174"/>
      <c r="AJ34" s="41"/>
      <c r="AK34" s="174"/>
      <c r="AL34" s="41"/>
      <c r="AM34" s="174"/>
      <c r="AN34" s="41"/>
      <c r="AO34" s="174"/>
      <c r="AP34" s="41"/>
      <c r="AQ34" s="174"/>
      <c r="AR34" s="41"/>
      <c r="AS34" s="174"/>
      <c r="AT34" s="41"/>
      <c r="AU34" s="174"/>
      <c r="AV34" s="41"/>
      <c r="AW34" s="174"/>
      <c r="AX34" s="41"/>
      <c r="AY34" s="174"/>
      <c r="AZ34" s="41"/>
      <c r="BA34" s="174"/>
      <c r="BB34" s="41"/>
      <c r="BC34" s="174"/>
      <c r="BD34" s="41"/>
      <c r="BE34" s="174"/>
      <c r="BF34" s="41"/>
      <c r="BG34" s="174"/>
      <c r="BH34" s="41"/>
      <c r="BI34" s="174"/>
      <c r="BJ34" s="41"/>
      <c r="BK34" s="174"/>
      <c r="BL34" s="41"/>
      <c r="BM34" s="174"/>
      <c r="BN34" s="41"/>
      <c r="BO34" s="174"/>
      <c r="BP34" s="41"/>
      <c r="BQ34" s="174"/>
      <c r="BR34" s="41"/>
      <c r="BS34" s="174"/>
      <c r="BT34" s="41"/>
      <c r="BU34" s="174"/>
      <c r="BV34" s="41"/>
      <c r="BW34" s="174"/>
      <c r="BX34" s="41"/>
      <c r="BY34" s="174"/>
      <c r="BZ34" s="41"/>
      <c r="CA34" s="54" t="str">
        <f t="shared" si="0"/>
        <v/>
      </c>
      <c r="CB34" s="55"/>
      <c r="CC34" s="56"/>
      <c r="CD34" s="43"/>
      <c r="CE34" s="44"/>
      <c r="CF34" s="44"/>
      <c r="CG34" s="44"/>
      <c r="CH34" s="44"/>
      <c r="CI34" s="45"/>
    </row>
    <row r="35" spans="2:87" ht="49.95" customHeight="1">
      <c r="B35" s="13"/>
      <c r="C35" s="137"/>
      <c r="D35" s="138"/>
      <c r="E35" s="138"/>
      <c r="F35" s="138"/>
      <c r="G35" s="138"/>
      <c r="H35" s="139"/>
      <c r="I35" s="174"/>
      <c r="J35" s="41"/>
      <c r="K35" s="174"/>
      <c r="L35" s="41"/>
      <c r="M35" s="174"/>
      <c r="N35" s="41"/>
      <c r="O35" s="174"/>
      <c r="P35" s="41"/>
      <c r="Q35" s="174"/>
      <c r="R35" s="41"/>
      <c r="S35" s="174"/>
      <c r="T35" s="41"/>
      <c r="U35" s="174"/>
      <c r="V35" s="41"/>
      <c r="W35" s="174"/>
      <c r="X35" s="41"/>
      <c r="Y35" s="174"/>
      <c r="Z35" s="41"/>
      <c r="AA35" s="174"/>
      <c r="AB35" s="41"/>
      <c r="AC35" s="174"/>
      <c r="AD35" s="41"/>
      <c r="AE35" s="174"/>
      <c r="AF35" s="41"/>
      <c r="AG35" s="174"/>
      <c r="AH35" s="41"/>
      <c r="AI35" s="174"/>
      <c r="AJ35" s="41"/>
      <c r="AK35" s="174"/>
      <c r="AL35" s="41"/>
      <c r="AM35" s="174"/>
      <c r="AN35" s="41"/>
      <c r="AO35" s="174"/>
      <c r="AP35" s="41"/>
      <c r="AQ35" s="174"/>
      <c r="AR35" s="41"/>
      <c r="AS35" s="174"/>
      <c r="AT35" s="41"/>
      <c r="AU35" s="174"/>
      <c r="AV35" s="41"/>
      <c r="AW35" s="174"/>
      <c r="AX35" s="41"/>
      <c r="AY35" s="174"/>
      <c r="AZ35" s="41"/>
      <c r="BA35" s="174"/>
      <c r="BB35" s="41"/>
      <c r="BC35" s="174"/>
      <c r="BD35" s="41"/>
      <c r="BE35" s="174"/>
      <c r="BF35" s="41"/>
      <c r="BG35" s="174"/>
      <c r="BH35" s="41"/>
      <c r="BI35" s="174"/>
      <c r="BJ35" s="41"/>
      <c r="BK35" s="174"/>
      <c r="BL35" s="41"/>
      <c r="BM35" s="174"/>
      <c r="BN35" s="41"/>
      <c r="BO35" s="174"/>
      <c r="BP35" s="41"/>
      <c r="BQ35" s="174"/>
      <c r="BR35" s="41"/>
      <c r="BS35" s="174"/>
      <c r="BT35" s="41"/>
      <c r="BU35" s="174"/>
      <c r="BV35" s="41"/>
      <c r="BW35" s="174"/>
      <c r="BX35" s="41"/>
      <c r="BY35" s="174"/>
      <c r="BZ35" s="41"/>
      <c r="CA35" s="54" t="str">
        <f t="shared" si="0"/>
        <v/>
      </c>
      <c r="CB35" s="55"/>
      <c r="CC35" s="56"/>
      <c r="CD35" s="43"/>
      <c r="CE35" s="44"/>
      <c r="CF35" s="44"/>
      <c r="CG35" s="44"/>
      <c r="CH35" s="44"/>
      <c r="CI35" s="45"/>
    </row>
    <row r="36" spans="2:87" ht="49.95" customHeight="1">
      <c r="B36" s="13"/>
      <c r="C36" s="137"/>
      <c r="D36" s="138"/>
      <c r="E36" s="138"/>
      <c r="F36" s="138"/>
      <c r="G36" s="138"/>
      <c r="H36" s="139"/>
      <c r="I36" s="174"/>
      <c r="J36" s="41"/>
      <c r="K36" s="174"/>
      <c r="L36" s="41"/>
      <c r="M36" s="174"/>
      <c r="N36" s="41"/>
      <c r="O36" s="174"/>
      <c r="P36" s="41"/>
      <c r="Q36" s="174"/>
      <c r="R36" s="41"/>
      <c r="S36" s="174"/>
      <c r="T36" s="41"/>
      <c r="U36" s="174"/>
      <c r="V36" s="41"/>
      <c r="W36" s="174"/>
      <c r="X36" s="41"/>
      <c r="Y36" s="174"/>
      <c r="Z36" s="41"/>
      <c r="AA36" s="174"/>
      <c r="AB36" s="41"/>
      <c r="AC36" s="174"/>
      <c r="AD36" s="41"/>
      <c r="AE36" s="174"/>
      <c r="AF36" s="41"/>
      <c r="AG36" s="174"/>
      <c r="AH36" s="41"/>
      <c r="AI36" s="174"/>
      <c r="AJ36" s="41"/>
      <c r="AK36" s="174"/>
      <c r="AL36" s="41"/>
      <c r="AM36" s="174"/>
      <c r="AN36" s="41"/>
      <c r="AO36" s="174"/>
      <c r="AP36" s="41"/>
      <c r="AQ36" s="174"/>
      <c r="AR36" s="41"/>
      <c r="AS36" s="174"/>
      <c r="AT36" s="41"/>
      <c r="AU36" s="174"/>
      <c r="AV36" s="41"/>
      <c r="AW36" s="174"/>
      <c r="AX36" s="41"/>
      <c r="AY36" s="174"/>
      <c r="AZ36" s="41"/>
      <c r="BA36" s="174"/>
      <c r="BB36" s="41"/>
      <c r="BC36" s="174"/>
      <c r="BD36" s="41"/>
      <c r="BE36" s="174"/>
      <c r="BF36" s="41"/>
      <c r="BG36" s="174"/>
      <c r="BH36" s="41"/>
      <c r="BI36" s="174"/>
      <c r="BJ36" s="41"/>
      <c r="BK36" s="174"/>
      <c r="BL36" s="41"/>
      <c r="BM36" s="174"/>
      <c r="BN36" s="41"/>
      <c r="BO36" s="174"/>
      <c r="BP36" s="41"/>
      <c r="BQ36" s="174"/>
      <c r="BR36" s="41"/>
      <c r="BS36" s="174"/>
      <c r="BT36" s="41"/>
      <c r="BU36" s="174"/>
      <c r="BV36" s="41"/>
      <c r="BW36" s="174"/>
      <c r="BX36" s="41"/>
      <c r="BY36" s="174"/>
      <c r="BZ36" s="41"/>
      <c r="CA36" s="54" t="str">
        <f t="shared" si="0"/>
        <v/>
      </c>
      <c r="CB36" s="55"/>
      <c r="CC36" s="56"/>
      <c r="CD36" s="43"/>
      <c r="CE36" s="44"/>
      <c r="CF36" s="44"/>
      <c r="CG36" s="44"/>
      <c r="CH36" s="44"/>
      <c r="CI36" s="45"/>
    </row>
    <row r="37" spans="2:87" ht="49.95" customHeight="1">
      <c r="B37" s="13"/>
      <c r="C37" s="137"/>
      <c r="D37" s="138"/>
      <c r="E37" s="138"/>
      <c r="F37" s="138"/>
      <c r="G37" s="138"/>
      <c r="H37" s="139"/>
      <c r="I37" s="174"/>
      <c r="J37" s="41"/>
      <c r="K37" s="174"/>
      <c r="L37" s="41"/>
      <c r="M37" s="174"/>
      <c r="N37" s="41"/>
      <c r="O37" s="174"/>
      <c r="P37" s="41"/>
      <c r="Q37" s="174"/>
      <c r="R37" s="41"/>
      <c r="S37" s="174"/>
      <c r="T37" s="41"/>
      <c r="U37" s="174"/>
      <c r="V37" s="41"/>
      <c r="W37" s="174"/>
      <c r="X37" s="41"/>
      <c r="Y37" s="174"/>
      <c r="Z37" s="41"/>
      <c r="AA37" s="174"/>
      <c r="AB37" s="41"/>
      <c r="AC37" s="174"/>
      <c r="AD37" s="41"/>
      <c r="AE37" s="174"/>
      <c r="AF37" s="41"/>
      <c r="AG37" s="174"/>
      <c r="AH37" s="41"/>
      <c r="AI37" s="174"/>
      <c r="AJ37" s="41"/>
      <c r="AK37" s="174"/>
      <c r="AL37" s="41"/>
      <c r="AM37" s="174"/>
      <c r="AN37" s="41"/>
      <c r="AO37" s="174"/>
      <c r="AP37" s="41"/>
      <c r="AQ37" s="174"/>
      <c r="AR37" s="41"/>
      <c r="AS37" s="174"/>
      <c r="AT37" s="41"/>
      <c r="AU37" s="174"/>
      <c r="AV37" s="41"/>
      <c r="AW37" s="174"/>
      <c r="AX37" s="41"/>
      <c r="AY37" s="174"/>
      <c r="AZ37" s="41"/>
      <c r="BA37" s="174"/>
      <c r="BB37" s="41"/>
      <c r="BC37" s="174"/>
      <c r="BD37" s="41"/>
      <c r="BE37" s="174"/>
      <c r="BF37" s="41"/>
      <c r="BG37" s="174"/>
      <c r="BH37" s="41"/>
      <c r="BI37" s="174"/>
      <c r="BJ37" s="41"/>
      <c r="BK37" s="174"/>
      <c r="BL37" s="41"/>
      <c r="BM37" s="174"/>
      <c r="BN37" s="41"/>
      <c r="BO37" s="174"/>
      <c r="BP37" s="41"/>
      <c r="BQ37" s="174"/>
      <c r="BR37" s="41"/>
      <c r="BS37" s="174"/>
      <c r="BT37" s="41"/>
      <c r="BU37" s="174"/>
      <c r="BV37" s="41"/>
      <c r="BW37" s="174"/>
      <c r="BX37" s="41"/>
      <c r="BY37" s="174"/>
      <c r="BZ37" s="41"/>
      <c r="CA37" s="54" t="str">
        <f t="shared" si="0"/>
        <v/>
      </c>
      <c r="CB37" s="55"/>
      <c r="CC37" s="56"/>
      <c r="CD37" s="43"/>
      <c r="CE37" s="44"/>
      <c r="CF37" s="44"/>
      <c r="CG37" s="44"/>
      <c r="CH37" s="44"/>
      <c r="CI37" s="45"/>
    </row>
    <row r="38" spans="2:87" ht="49.95" customHeight="1" thickBot="1">
      <c r="B38" s="14"/>
      <c r="C38" s="133"/>
      <c r="D38" s="134"/>
      <c r="E38" s="134"/>
      <c r="F38" s="134"/>
      <c r="G38" s="134"/>
      <c r="H38" s="135"/>
      <c r="I38" s="174"/>
      <c r="J38" s="41"/>
      <c r="K38" s="174"/>
      <c r="L38" s="41"/>
      <c r="M38" s="174"/>
      <c r="N38" s="41"/>
      <c r="O38" s="174"/>
      <c r="P38" s="41"/>
      <c r="Q38" s="174"/>
      <c r="R38" s="41"/>
      <c r="S38" s="174"/>
      <c r="T38" s="41"/>
      <c r="U38" s="174"/>
      <c r="V38" s="41"/>
      <c r="W38" s="174"/>
      <c r="X38" s="41"/>
      <c r="Y38" s="174"/>
      <c r="Z38" s="41"/>
      <c r="AA38" s="174"/>
      <c r="AB38" s="41"/>
      <c r="AC38" s="174"/>
      <c r="AD38" s="41"/>
      <c r="AE38" s="174"/>
      <c r="AF38" s="41"/>
      <c r="AG38" s="174"/>
      <c r="AH38" s="41"/>
      <c r="AI38" s="174"/>
      <c r="AJ38" s="41"/>
      <c r="AK38" s="174"/>
      <c r="AL38" s="41"/>
      <c r="AM38" s="174"/>
      <c r="AN38" s="41"/>
      <c r="AO38" s="174"/>
      <c r="AP38" s="41"/>
      <c r="AQ38" s="174"/>
      <c r="AR38" s="41"/>
      <c r="AS38" s="174"/>
      <c r="AT38" s="41"/>
      <c r="AU38" s="174"/>
      <c r="AV38" s="41"/>
      <c r="AW38" s="174"/>
      <c r="AX38" s="41"/>
      <c r="AY38" s="174"/>
      <c r="AZ38" s="41"/>
      <c r="BA38" s="174"/>
      <c r="BB38" s="41"/>
      <c r="BC38" s="174"/>
      <c r="BD38" s="41"/>
      <c r="BE38" s="174"/>
      <c r="BF38" s="41"/>
      <c r="BG38" s="174"/>
      <c r="BH38" s="41"/>
      <c r="BI38" s="174"/>
      <c r="BJ38" s="41"/>
      <c r="BK38" s="174"/>
      <c r="BL38" s="41"/>
      <c r="BM38" s="174"/>
      <c r="BN38" s="41"/>
      <c r="BO38" s="174"/>
      <c r="BP38" s="41"/>
      <c r="BQ38" s="174"/>
      <c r="BR38" s="41"/>
      <c r="BS38" s="174"/>
      <c r="BT38" s="41"/>
      <c r="BU38" s="174"/>
      <c r="BV38" s="41"/>
      <c r="BW38" s="174"/>
      <c r="BX38" s="41"/>
      <c r="BY38" s="174"/>
      <c r="BZ38" s="41"/>
      <c r="CA38" s="54" t="str">
        <f t="shared" si="0"/>
        <v/>
      </c>
      <c r="CB38" s="55"/>
      <c r="CC38" s="56"/>
      <c r="CD38" s="46"/>
      <c r="CE38" s="47"/>
      <c r="CF38" s="47"/>
      <c r="CG38" s="47"/>
      <c r="CH38" s="47"/>
      <c r="CI38" s="48"/>
    </row>
    <row r="39" spans="2:87" ht="31.95" customHeight="1" thickBot="1">
      <c r="B39" s="20" t="s">
        <v>22</v>
      </c>
      <c r="C39" s="52">
        <f>COUNTA(C12:C38)</f>
        <v>0</v>
      </c>
      <c r="D39" s="53"/>
      <c r="E39" s="21"/>
      <c r="F39" s="52" t="str">
        <f>"1 x "&amp;G7</f>
        <v xml:space="preserve">1 x </v>
      </c>
      <c r="G39" s="136"/>
      <c r="H39" s="22">
        <f>COUNTIF(I39:BZ39,"O")</f>
        <v>0</v>
      </c>
      <c r="I39" s="52" t="str">
        <f>IF($G$10="S",IF(I50="SV","",IF(I50="LIDER","",IF(I50="C/A","",IF(I50="NI","",IF(I6="","",IF((COUNTIF(J12:J38,"U")+COUNTIF(J12:J38,"L"))&gt;=$G$7,"O","X")))))),IF(I50="SV","",IF(I50="NI","",IF(I6="","",IF((COUNTIF(J12:J38,"U")+COUNTIF(J12:J38,"L"))&gt;=$G$7,"O","X")))))</f>
        <v/>
      </c>
      <c r="J39" s="53"/>
      <c r="K39" s="52" t="str">
        <f>IF($G$10="S",IF(K50="SV","",IF(K50="LIDER","",IF(K50="C/A","",IF(K50="NI","",IF(K6="","",IF((COUNTIF(L12:L38,"U")+COUNTIF(L12:L38,"L"))&gt;=$G$7,"O","X")))))),IF(K50="SV","",IF(K50="NI","",IF(K6="","",IF((COUNTIF(L12:L38,"U")+COUNTIF(L12:L38,"L"))&gt;=$G$7,"O","X")))))</f>
        <v/>
      </c>
      <c r="L39" s="53"/>
      <c r="M39" s="52" t="str">
        <f t="shared" ref="M39" si="1">IF($G$10="S",IF(M50="SV","",IF(M50="LIDER","",IF(M50="C/A","",IF(M50="NI","",IF(M6="","",IF((COUNTIF(N12:N38,"U")+COUNTIF(N12:N38,"L"))&gt;=$G$7,"O","X")))))),IF(M50="SV","",IF(M50="NI","",IF(M6="","",IF((COUNTIF(N12:N38,"U")+COUNTIF(N12:N38,"L"))&gt;=$G$7,"O","X")))))</f>
        <v/>
      </c>
      <c r="N39" s="53"/>
      <c r="O39" s="52" t="str">
        <f t="shared" ref="O39" si="2">IF($G$10="S",IF(O50="SV","",IF(O50="LIDER","",IF(O50="C/A","",IF(O50="NI","",IF(O6="","",IF((COUNTIF(P12:P38,"U")+COUNTIF(P12:P38,"L"))&gt;=$G$7,"O","X")))))),IF(O50="SV","",IF(O50="NI","",IF(O6="","",IF((COUNTIF(P12:P38,"U")+COUNTIF(P12:P38,"L"))&gt;=$G$7,"O","X")))))</f>
        <v/>
      </c>
      <c r="P39" s="53"/>
      <c r="Q39" s="52" t="str">
        <f t="shared" ref="Q39" si="3">IF($G$10="S",IF(Q50="SV","",IF(Q50="LIDER","",IF(Q50="C/A","",IF(Q50="NI","",IF(Q6="","",IF((COUNTIF(R12:R38,"U")+COUNTIF(R12:R38,"L"))&gt;=$G$7,"O","X")))))),IF(Q50="SV","",IF(Q50="NI","",IF(Q6="","",IF((COUNTIF(R12:R38,"U")+COUNTIF(R12:R38,"L"))&gt;=$G$7,"O","X")))))</f>
        <v/>
      </c>
      <c r="R39" s="53"/>
      <c r="S39" s="52" t="str">
        <f t="shared" ref="S39" si="4">IF($G$10="S",IF(S50="SV","",IF(S50="LIDER","",IF(S50="C/A","",IF(S50="NI","",IF(S6="","",IF((COUNTIF(T12:T38,"U")+COUNTIF(T12:T38,"L"))&gt;=$G$7,"O","X")))))),IF(S50="SV","",IF(S50="NI","",IF(S6="","",IF((COUNTIF(T12:T38,"U")+COUNTIF(T12:T38,"L"))&gt;=$G$7,"O","X")))))</f>
        <v/>
      </c>
      <c r="T39" s="53"/>
      <c r="U39" s="52" t="str">
        <f t="shared" ref="U39" si="5">IF($G$10="S",IF(U50="SV","",IF(U50="LIDER","",IF(U50="C/A","",IF(U50="NI","",IF(U6="","",IF((COUNTIF(V12:V38,"U")+COUNTIF(V12:V38,"L"))&gt;=$G$7,"O","X")))))),IF(U50="SV","",IF(U50="NI","",IF(U6="","",IF((COUNTIF(V12:V38,"U")+COUNTIF(V12:V38,"L"))&gt;=$G$7,"O","X")))))</f>
        <v/>
      </c>
      <c r="V39" s="53"/>
      <c r="W39" s="52" t="str">
        <f t="shared" ref="W39" si="6">IF($G$10="S",IF(W50="SV","",IF(W50="LIDER","",IF(W50="C/A","",IF(W50="NI","",IF(W6="","",IF((COUNTIF(X12:X38,"U")+COUNTIF(X12:X38,"L"))&gt;=$G$7,"O","X")))))),IF(W50="SV","",IF(W50="NI","",IF(W6="","",IF((COUNTIF(X12:X38,"U")+COUNTIF(X12:X38,"L"))&gt;=$G$7,"O","X")))))</f>
        <v/>
      </c>
      <c r="X39" s="53"/>
      <c r="Y39" s="52" t="str">
        <f t="shared" ref="Y39" si="7">IF($G$10="S",IF(Y50="SV","",IF(Y50="LIDER","",IF(Y50="C/A","",IF(Y50="NI","",IF(Y6="","",IF((COUNTIF(Z12:Z38,"U")+COUNTIF(Z12:Z38,"L"))&gt;=$G$7,"O","X")))))),IF(Y50="SV","",IF(Y50="NI","",IF(Y6="","",IF((COUNTIF(Z12:Z38,"U")+COUNTIF(Z12:Z38,"L"))&gt;=$G$7,"O","X")))))</f>
        <v/>
      </c>
      <c r="Z39" s="53"/>
      <c r="AA39" s="52" t="str">
        <f t="shared" ref="AA39" si="8">IF($G$10="S",IF(AA50="SV","",IF(AA50="LIDER","",IF(AA50="C/A","",IF(AA50="NI","",IF(AA6="","",IF((COUNTIF(AB12:AB38,"U")+COUNTIF(AB12:AB38,"L"))&gt;=$G$7,"O","X")))))),IF(AA50="SV","",IF(AA50="NI","",IF(AA6="","",IF((COUNTIF(AB12:AB38,"U")+COUNTIF(AB12:AB38,"L"))&gt;=$G$7,"O","X")))))</f>
        <v/>
      </c>
      <c r="AB39" s="53"/>
      <c r="AC39" s="52" t="str">
        <f t="shared" ref="AC39" si="9">IF($G$10="S",IF(AC50="SV","",IF(AC50="LIDER","",IF(AC50="C/A","",IF(AC50="NI","",IF(AC6="","",IF((COUNTIF(AD12:AD38,"U")+COUNTIF(AD12:AD38,"L"))&gt;=$G$7,"O","X")))))),IF(AC50="SV","",IF(AC50="NI","",IF(AC6="","",IF((COUNTIF(AD12:AD38,"U")+COUNTIF(AD12:AD38,"L"))&gt;=$G$7,"O","X")))))</f>
        <v/>
      </c>
      <c r="AD39" s="53"/>
      <c r="AE39" s="52" t="str">
        <f t="shared" ref="AE39" si="10">IF($G$10="S",IF(AE50="SV","",IF(AE50="LIDER","",IF(AE50="C/A","",IF(AE50="NI","",IF(AE6="","",IF((COUNTIF(AF12:AF38,"U")+COUNTIF(AF12:AF38,"L"))&gt;=$G$7,"O","X")))))),IF(AE50="SV","",IF(AE50="NI","",IF(AE6="","",IF((COUNTIF(AF12:AF38,"U")+COUNTIF(AF12:AF38,"L"))&gt;=$G$7,"O","X")))))</f>
        <v/>
      </c>
      <c r="AF39" s="53"/>
      <c r="AG39" s="52" t="str">
        <f t="shared" ref="AG39" si="11">IF($G$10="S",IF(AG50="SV","",IF(AG50="LIDER","",IF(AG50="C/A","",IF(AG50="NI","",IF(AG6="","",IF((COUNTIF(AH12:AH38,"U")+COUNTIF(AH12:AH38,"L"))&gt;=$G$7,"O","X")))))),IF(AG50="SV","",IF(AG50="NI","",IF(AG6="","",IF((COUNTIF(AH12:AH38,"U")+COUNTIF(AH12:AH38,"L"))&gt;=$G$7,"O","X")))))</f>
        <v/>
      </c>
      <c r="AH39" s="53"/>
      <c r="AI39" s="52" t="str">
        <f t="shared" ref="AI39" si="12">IF($G$10="S",IF(AI50="SV","",IF(AI50="LIDER","",IF(AI50="C/A","",IF(AI50="NI","",IF(AI6="","",IF((COUNTIF(AJ12:AJ38,"U")+COUNTIF(AJ12:AJ38,"L"))&gt;=$G$7,"O","X")))))),IF(AI50="SV","",IF(AI50="NI","",IF(AI6="","",IF((COUNTIF(AJ12:AJ38,"U")+COUNTIF(AJ12:AJ38,"L"))&gt;=$G$7,"O","X")))))</f>
        <v/>
      </c>
      <c r="AJ39" s="53"/>
      <c r="AK39" s="52" t="str">
        <f t="shared" ref="AK39" si="13">IF($G$10="S",IF(AK50="SV","",IF(AK50="LIDER","",IF(AK50="C/A","",IF(AK50="NI","",IF(AK6="","",IF((COUNTIF(AL12:AL38,"U")+COUNTIF(AL12:AL38,"L"))&gt;=$G$7,"O","X")))))),IF(AK50="SV","",IF(AK50="NI","",IF(AK6="","",IF((COUNTIF(AL12:AL38,"U")+COUNTIF(AL12:AL38,"L"))&gt;=$G$7,"O","X")))))</f>
        <v/>
      </c>
      <c r="AL39" s="53"/>
      <c r="AM39" s="52" t="str">
        <f t="shared" ref="AM39" si="14">IF($G$10="S",IF(AM50="SV","",IF(AM50="LIDER","",IF(AM50="C/A","",IF(AM50="NI","",IF(AM6="","",IF((COUNTIF(AN12:AN38,"U")+COUNTIF(AN12:AN38,"L"))&gt;=$G$7,"O","X")))))),IF(AM50="SV","",IF(AM50="NI","",IF(AM6="","",IF((COUNTIF(AN12:AN38,"U")+COUNTIF(AN12:AN38,"L"))&gt;=$G$7,"O","X")))))</f>
        <v/>
      </c>
      <c r="AN39" s="53"/>
      <c r="AO39" s="52" t="str">
        <f t="shared" ref="AO39" si="15">IF($G$10="S",IF(AO50="SV","",IF(AO50="LIDER","",IF(AO50="C/A","",IF(AO50="NI","",IF(AO6="","",IF((COUNTIF(AP12:AP38,"U")+COUNTIF(AP12:AP38,"L"))&gt;=$G$7,"O","X")))))),IF(AO50="SV","",IF(AO50="NI","",IF(AO6="","",IF((COUNTIF(AP12:AP38,"U")+COUNTIF(AP12:AP38,"L"))&gt;=$G$7,"O","X")))))</f>
        <v/>
      </c>
      <c r="AP39" s="53"/>
      <c r="AQ39" s="52" t="str">
        <f t="shared" ref="AQ39" si="16">IF($G$10="S",IF(AQ50="SV","",IF(AQ50="LIDER","",IF(AQ50="C/A","",IF(AQ50="NI","",IF(AQ6="","",IF((COUNTIF(AR12:AR38,"U")+COUNTIF(AR12:AR38,"L"))&gt;=$G$7,"O","X")))))),IF(AQ50="SV","",IF(AQ50="NI","",IF(AQ6="","",IF((COUNTIF(AR12:AR38,"U")+COUNTIF(AR12:AR38,"L"))&gt;=$G$7,"O","X")))))</f>
        <v/>
      </c>
      <c r="AR39" s="53"/>
      <c r="AS39" s="52" t="str">
        <f t="shared" ref="AS39" si="17">IF($G$10="S",IF(AS50="SV","",IF(AS50="LIDER","",IF(AS50="C/A","",IF(AS50="NI","",IF(AS6="","",IF((COUNTIF(AT12:AT38,"U")+COUNTIF(AT12:AT38,"L"))&gt;=$G$7,"O","X")))))),IF(AS50="SV","",IF(AS50="NI","",IF(AS6="","",IF((COUNTIF(AT12:AT38,"U")+COUNTIF(AT12:AT38,"L"))&gt;=$G$7,"O","X")))))</f>
        <v/>
      </c>
      <c r="AT39" s="53"/>
      <c r="AU39" s="52" t="str">
        <f t="shared" ref="AU39" si="18">IF($G$10="S",IF(AU50="SV","",IF(AU50="LIDER","",IF(AU50="C/A","",IF(AU50="NI","",IF(AU6="","",IF((COUNTIF(AV12:AV38,"U")+COUNTIF(AV12:AV38,"L"))&gt;=$G$7,"O","X")))))),IF(AU50="SV","",IF(AU50="NI","",IF(AU6="","",IF((COUNTIF(AV12:AV38,"U")+COUNTIF(AV12:AV38,"L"))&gt;=$G$7,"O","X")))))</f>
        <v/>
      </c>
      <c r="AV39" s="53"/>
      <c r="AW39" s="52" t="str">
        <f t="shared" ref="AW39" si="19">IF($G$10="S",IF(AW50="SV","",IF(AW50="LIDER","",IF(AW50="C/A","",IF(AW50="NI","",IF(AW6="","",IF((COUNTIF(AX12:AX38,"U")+COUNTIF(AX12:AX38,"L"))&gt;=$G$7,"O","X")))))),IF(AW50="SV","",IF(AW50="NI","",IF(AW6="","",IF((COUNTIF(AX12:AX38,"U")+COUNTIF(AX12:AX38,"L"))&gt;=$G$7,"O","X")))))</f>
        <v/>
      </c>
      <c r="AX39" s="53"/>
      <c r="AY39" s="52" t="str">
        <f t="shared" ref="AY39" si="20">IF($G$10="S",IF(AY50="SV","",IF(AY50="LIDER","",IF(AY50="C/A","",IF(AY50="NI","",IF(AY6="","",IF((COUNTIF(AZ12:AZ38,"U")+COUNTIF(AZ12:AZ38,"L"))&gt;=$G$7,"O","X")))))),IF(AY50="SV","",IF(AY50="NI","",IF(AY6="","",IF((COUNTIF(AZ12:AZ38,"U")+COUNTIF(AZ12:AZ38,"L"))&gt;=$G$7,"O","X")))))</f>
        <v/>
      </c>
      <c r="AZ39" s="53"/>
      <c r="BA39" s="52" t="str">
        <f t="shared" ref="BA39" si="21">IF($G$10="S",IF(BA50="SV","",IF(BA50="LIDER","",IF(BA50="C/A","",IF(BA50="NI","",IF(BA6="","",IF((COUNTIF(BB12:BB38,"U")+COUNTIF(BB12:BB38,"L"))&gt;=$G$7,"O","X")))))),IF(BA50="SV","",IF(BA50="NI","",IF(BA6="","",IF((COUNTIF(BB12:BB38,"U")+COUNTIF(BB12:BB38,"L"))&gt;=$G$7,"O","X")))))</f>
        <v/>
      </c>
      <c r="BB39" s="53"/>
      <c r="BC39" s="52" t="str">
        <f t="shared" ref="BC39" si="22">IF($G$10="S",IF(BC50="SV","",IF(BC50="LIDER","",IF(BC50="C/A","",IF(BC50="NI","",IF(BC6="","",IF((COUNTIF(BD12:BD38,"U")+COUNTIF(BD12:BD38,"L"))&gt;=$G$7,"O","X")))))),IF(BC50="SV","",IF(BC50="NI","",IF(BC6="","",IF((COUNTIF(BD12:BD38,"U")+COUNTIF(BD12:BD38,"L"))&gt;=$G$7,"O","X")))))</f>
        <v/>
      </c>
      <c r="BD39" s="53"/>
      <c r="BE39" s="52" t="str">
        <f t="shared" ref="BE39" si="23">IF($G$10="S",IF(BE50="SV","",IF(BE50="LIDER","",IF(BE50="C/A","",IF(BE50="NI","",IF(BE6="","",IF((COUNTIF(BF12:BF38,"U")+COUNTIF(BF12:BF38,"L"))&gt;=$G$7,"O","X")))))),IF(BE50="SV","",IF(BE50="NI","",IF(BE6="","",IF((COUNTIF(BF12:BF38,"U")+COUNTIF(BF12:BF38,"L"))&gt;=$G$7,"O","X")))))</f>
        <v/>
      </c>
      <c r="BF39" s="53"/>
      <c r="BG39" s="52" t="str">
        <f t="shared" ref="BG39" si="24">IF($G$10="S",IF(BG50="SV","",IF(BG50="LIDER","",IF(BG50="C/A","",IF(BG50="NI","",IF(BG6="","",IF((COUNTIF(BH12:BH38,"U")+COUNTIF(BH12:BH38,"L"))&gt;=$G$7,"O","X")))))),IF(BG50="SV","",IF(BG50="NI","",IF(BG6="","",IF((COUNTIF(BH12:BH38,"U")+COUNTIF(BH12:BH38,"L"))&gt;=$G$7,"O","X")))))</f>
        <v/>
      </c>
      <c r="BH39" s="53"/>
      <c r="BI39" s="52" t="str">
        <f t="shared" ref="BI39" si="25">IF($G$10="S",IF(BI50="SV","",IF(BI50="LIDER","",IF(BI50="C/A","",IF(BI50="NI","",IF(BI6="","",IF((COUNTIF(BJ12:BJ38,"U")+COUNTIF(BJ12:BJ38,"L"))&gt;=$G$7,"O","X")))))),IF(BI50="SV","",IF(BI50="NI","",IF(BI6="","",IF((COUNTIF(BJ12:BJ38,"U")+COUNTIF(BJ12:BJ38,"L"))&gt;=$G$7,"O","X")))))</f>
        <v/>
      </c>
      <c r="BJ39" s="53"/>
      <c r="BK39" s="52" t="str">
        <f t="shared" ref="BK39" si="26">IF($G$10="S",IF(BK50="SV","",IF(BK50="LIDER","",IF(BK50="C/A","",IF(BK50="NI","",IF(BK6="","",IF((COUNTIF(BL12:BL38,"U")+COUNTIF(BL12:BL38,"L"))&gt;=$G$7,"O","X")))))),IF(BK50="SV","",IF(BK50="NI","",IF(BK6="","",IF((COUNTIF(BL12:BL38,"U")+COUNTIF(BL12:BL38,"L"))&gt;=$G$7,"O","X")))))</f>
        <v/>
      </c>
      <c r="BL39" s="53"/>
      <c r="BM39" s="52" t="str">
        <f t="shared" ref="BM39" si="27">IF($G$10="S",IF(BM50="SV","",IF(BM50="LIDER","",IF(BM50="C/A","",IF(BM50="NI","",IF(BM6="","",IF((COUNTIF(BN12:BN38,"U")+COUNTIF(BN12:BN38,"L"))&gt;=$G$7,"O","X")))))),IF(BM50="SV","",IF(BM50="NI","",IF(BM6="","",IF((COUNTIF(BN12:BN38,"U")+COUNTIF(BN12:BN38,"L"))&gt;=$G$7,"O","X")))))</f>
        <v/>
      </c>
      <c r="BN39" s="53"/>
      <c r="BO39" s="52" t="str">
        <f t="shared" ref="BO39" si="28">IF($G$10="S",IF(BO50="SV","",IF(BO50="LIDER","",IF(BO50="C/A","",IF(BO50="NI","",IF(BO6="","",IF((COUNTIF(BP12:BP38,"U")+COUNTIF(BP12:BP38,"L"))&gt;=$G$7,"O","X")))))),IF(BO50="SV","",IF(BO50="NI","",IF(BO6="","",IF((COUNTIF(BP12:BP38,"U")+COUNTIF(BP12:BP38,"L"))&gt;=$G$7,"O","X")))))</f>
        <v/>
      </c>
      <c r="BP39" s="53"/>
      <c r="BQ39" s="52" t="str">
        <f t="shared" ref="BQ39" si="29">IF($G$10="S",IF(BQ50="SV","",IF(BQ50="LIDER","",IF(BQ50="C/A","",IF(BQ50="NI","",IF(BQ6="","",IF((COUNTIF(BR12:BR38,"U")+COUNTIF(BR12:BR38,"L"))&gt;=$G$7,"O","X")))))),IF(BQ50="SV","",IF(BQ50="NI","",IF(BQ6="","",IF((COUNTIF(BR12:BR38,"U")+COUNTIF(BR12:BR38,"L"))&gt;=$G$7,"O","X")))))</f>
        <v/>
      </c>
      <c r="BR39" s="53"/>
      <c r="BS39" s="52" t="str">
        <f t="shared" ref="BS39" si="30">IF($G$10="S",IF(BS50="SV","",IF(BS50="LIDER","",IF(BS50="C/A","",IF(BS50="NI","",IF(BS6="","",IF((COUNTIF(BT12:BT38,"U")+COUNTIF(BT12:BT38,"L"))&gt;=$G$7,"O","X")))))),IF(BS50="SV","",IF(BS50="NI","",IF(BS6="","",IF((COUNTIF(BT12:BT38,"U")+COUNTIF(BT12:BT38,"L"))&gt;=$G$7,"O","X")))))</f>
        <v/>
      </c>
      <c r="BT39" s="53"/>
      <c r="BU39" s="52" t="str">
        <f t="shared" ref="BU39" si="31">IF($G$10="S",IF(BU50="SV","",IF(BU50="LIDER","",IF(BU50="C/A","",IF(BU50="NI","",IF(BU6="","",IF((COUNTIF(BV12:BV38,"U")+COUNTIF(BV12:BV38,"L"))&gt;=$G$7,"O","X")))))),IF(BU50="SV","",IF(BU50="NI","",IF(BU6="","",IF((COUNTIF(BV12:BV38,"U")+COUNTIF(BV12:BV38,"L"))&gt;=$G$7,"O","X")))))</f>
        <v/>
      </c>
      <c r="BV39" s="53"/>
      <c r="BW39" s="52" t="str">
        <f t="shared" ref="BW39" si="32">IF($G$10="S",IF(BW50="SV","",IF(BW50="LIDER","",IF(BW50="C/A","",IF(BW50="NI","",IF(BW6="","",IF((COUNTIF(BX12:BX38,"U")+COUNTIF(BX12:BX38,"L"))&gt;=$G$7,"O","X")))))),IF(BW50="SV","",IF(BW50="NI","",IF(BW6="","",IF((COUNTIF(BX12:BX38,"U")+COUNTIF(BX12:BX38,"L"))&gt;=$G$7,"O","X")))))</f>
        <v/>
      </c>
      <c r="BX39" s="53"/>
      <c r="BY39" s="52" t="str">
        <f>IF($G$10="S",IF(BY50="SV","",IF(BY50="LIDER","",IF(BY50="C/A","",IF(BY50="NI","",IF(BY6="","",IF((COUNTIF(BZ12:BZ38,"U")+COUNTIF(BZ12:BZ38,"L"))&gt;=$G$7,"O","X")))))),IF(BY50="SV","",IF(BY50="NI","",IF(BY6="","",IF((COUNTIF(BZ12:BZ38,"U")+COUNTIF(BZ12:BZ38,"L"))&gt;=$G$7,"O","X")))))</f>
        <v/>
      </c>
      <c r="BZ39" s="53"/>
      <c r="CA39" s="121"/>
      <c r="CB39" s="122"/>
      <c r="CC39" s="123"/>
      <c r="CD39" s="101" t="s">
        <v>23</v>
      </c>
      <c r="CE39" s="102"/>
      <c r="CF39" s="102"/>
      <c r="CG39" s="102"/>
      <c r="CH39" s="102"/>
      <c r="CI39" s="103"/>
    </row>
    <row r="40" spans="2:87" ht="21" customHeight="1" thickBot="1">
      <c r="B40" s="127" t="s">
        <v>24</v>
      </c>
      <c r="C40" s="128"/>
      <c r="D40" s="128"/>
      <c r="E40" s="128"/>
      <c r="F40" s="128"/>
      <c r="G40" s="128"/>
      <c r="H40" s="129"/>
      <c r="I40" s="117">
        <f>COUNTIF(J12:J38,"L")+COUNTIF(J12:J38,"U")</f>
        <v>0</v>
      </c>
      <c r="J40" s="118"/>
      <c r="K40" s="117">
        <f>COUNTIF(L12:L38,"L")+COUNTIF(L12:L38,"U")</f>
        <v>0</v>
      </c>
      <c r="L40" s="118"/>
      <c r="M40" s="117">
        <f t="shared" ref="M40" si="33">COUNTIF(N12:N38,"L")+COUNTIF(N12:N38,"U")</f>
        <v>0</v>
      </c>
      <c r="N40" s="118"/>
      <c r="O40" s="117">
        <f t="shared" ref="O40" si="34">COUNTIF(P12:P38,"L")+COUNTIF(P12:P38,"U")</f>
        <v>0</v>
      </c>
      <c r="P40" s="118"/>
      <c r="Q40" s="117">
        <f t="shared" ref="Q40" si="35">COUNTIF(R12:R38,"L")+COUNTIF(R12:R38,"U")</f>
        <v>0</v>
      </c>
      <c r="R40" s="118"/>
      <c r="S40" s="117">
        <f t="shared" ref="S40" si="36">COUNTIF(T12:T38,"L")+COUNTIF(T12:T38,"U")</f>
        <v>0</v>
      </c>
      <c r="T40" s="118"/>
      <c r="U40" s="117">
        <f t="shared" ref="U40" si="37">COUNTIF(V12:V38,"L")+COUNTIF(V12:V38,"U")</f>
        <v>0</v>
      </c>
      <c r="V40" s="118"/>
      <c r="W40" s="117">
        <f t="shared" ref="W40" si="38">COUNTIF(X12:X38,"L")+COUNTIF(X12:X38,"U")</f>
        <v>0</v>
      </c>
      <c r="X40" s="118"/>
      <c r="Y40" s="117">
        <f t="shared" ref="Y40" si="39">COUNTIF(Z12:Z38,"L")+COUNTIF(Z12:Z38,"U")</f>
        <v>0</v>
      </c>
      <c r="Z40" s="118"/>
      <c r="AA40" s="117">
        <f t="shared" ref="AA40" si="40">COUNTIF(AB12:AB38,"L")+COUNTIF(AB12:AB38,"U")</f>
        <v>0</v>
      </c>
      <c r="AB40" s="118"/>
      <c r="AC40" s="117">
        <f t="shared" ref="AC40" si="41">COUNTIF(AD12:AD38,"L")+COUNTIF(AD12:AD38,"U")</f>
        <v>0</v>
      </c>
      <c r="AD40" s="118"/>
      <c r="AE40" s="117">
        <f t="shared" ref="AE40" si="42">COUNTIF(AF12:AF38,"L")+COUNTIF(AF12:AF38,"U")</f>
        <v>0</v>
      </c>
      <c r="AF40" s="118"/>
      <c r="AG40" s="117">
        <f t="shared" ref="AG40" si="43">COUNTIF(AH12:AH38,"L")+COUNTIF(AH12:AH38,"U")</f>
        <v>0</v>
      </c>
      <c r="AH40" s="118"/>
      <c r="AI40" s="117">
        <f t="shared" ref="AI40" si="44">COUNTIF(AJ12:AJ38,"L")+COUNTIF(AJ12:AJ38,"U")</f>
        <v>0</v>
      </c>
      <c r="AJ40" s="118"/>
      <c r="AK40" s="117">
        <f t="shared" ref="AK40" si="45">COUNTIF(AL12:AL38,"L")+COUNTIF(AL12:AL38,"U")</f>
        <v>0</v>
      </c>
      <c r="AL40" s="118"/>
      <c r="AM40" s="117">
        <f t="shared" ref="AM40" si="46">COUNTIF(AN12:AN38,"L")+COUNTIF(AN12:AN38,"U")</f>
        <v>0</v>
      </c>
      <c r="AN40" s="118"/>
      <c r="AO40" s="117">
        <f t="shared" ref="AO40" si="47">COUNTIF(AP12:AP38,"L")+COUNTIF(AP12:AP38,"U")</f>
        <v>0</v>
      </c>
      <c r="AP40" s="118"/>
      <c r="AQ40" s="117">
        <f t="shared" ref="AQ40" si="48">COUNTIF(AR12:AR38,"L")+COUNTIF(AR12:AR38,"U")</f>
        <v>0</v>
      </c>
      <c r="AR40" s="118"/>
      <c r="AS40" s="117">
        <f t="shared" ref="AS40" si="49">COUNTIF(AT12:AT38,"L")+COUNTIF(AT12:AT38,"U")</f>
        <v>0</v>
      </c>
      <c r="AT40" s="118"/>
      <c r="AU40" s="117">
        <f t="shared" ref="AU40" si="50">COUNTIF(AV12:AV38,"L")+COUNTIF(AV12:AV38,"U")</f>
        <v>0</v>
      </c>
      <c r="AV40" s="118"/>
      <c r="AW40" s="117">
        <f t="shared" ref="AW40" si="51">COUNTIF(AX12:AX38,"L")+COUNTIF(AX12:AX38,"U")</f>
        <v>0</v>
      </c>
      <c r="AX40" s="118"/>
      <c r="AY40" s="117">
        <f t="shared" ref="AY40" si="52">COUNTIF(AZ12:AZ38,"L")+COUNTIF(AZ12:AZ38,"U")</f>
        <v>0</v>
      </c>
      <c r="AZ40" s="118"/>
      <c r="BA40" s="117">
        <f t="shared" ref="BA40" si="53">COUNTIF(BB12:BB38,"L")+COUNTIF(BB12:BB38,"U")</f>
        <v>0</v>
      </c>
      <c r="BB40" s="118"/>
      <c r="BC40" s="117">
        <f t="shared" ref="BC40" si="54">COUNTIF(BD12:BD38,"L")+COUNTIF(BD12:BD38,"U")</f>
        <v>0</v>
      </c>
      <c r="BD40" s="118"/>
      <c r="BE40" s="117">
        <f t="shared" ref="BE40" si="55">COUNTIF(BF12:BF38,"L")+COUNTIF(BF12:BF38,"U")</f>
        <v>0</v>
      </c>
      <c r="BF40" s="118"/>
      <c r="BG40" s="117">
        <f t="shared" ref="BG40" si="56">COUNTIF(BH12:BH38,"L")+COUNTIF(BH12:BH38,"U")</f>
        <v>0</v>
      </c>
      <c r="BH40" s="118"/>
      <c r="BI40" s="117">
        <f t="shared" ref="BI40" si="57">COUNTIF(BJ12:BJ38,"L")+COUNTIF(BJ12:BJ38,"U")</f>
        <v>0</v>
      </c>
      <c r="BJ40" s="118"/>
      <c r="BK40" s="117">
        <f t="shared" ref="BK40" si="58">COUNTIF(BL12:BL38,"L")+COUNTIF(BL12:BL38,"U")</f>
        <v>0</v>
      </c>
      <c r="BL40" s="118"/>
      <c r="BM40" s="117">
        <f t="shared" ref="BM40" si="59">COUNTIF(BN12:BN38,"L")+COUNTIF(BN12:BN38,"U")</f>
        <v>0</v>
      </c>
      <c r="BN40" s="118"/>
      <c r="BO40" s="117">
        <f t="shared" ref="BO40" si="60">COUNTIF(BP12:BP38,"L")+COUNTIF(BP12:BP38,"U")</f>
        <v>0</v>
      </c>
      <c r="BP40" s="118"/>
      <c r="BQ40" s="117">
        <f t="shared" ref="BQ40" si="61">COUNTIF(BR12:BR38,"L")+COUNTIF(BR12:BR38,"U")</f>
        <v>0</v>
      </c>
      <c r="BR40" s="118"/>
      <c r="BS40" s="117">
        <f t="shared" ref="BS40" si="62">COUNTIF(BT12:BT38,"L")+COUNTIF(BT12:BT38,"U")</f>
        <v>0</v>
      </c>
      <c r="BT40" s="118"/>
      <c r="BU40" s="117">
        <f t="shared" ref="BU40" si="63">COUNTIF(BV12:BV38,"L")+COUNTIF(BV12:BV38,"U")</f>
        <v>0</v>
      </c>
      <c r="BV40" s="118"/>
      <c r="BW40" s="117">
        <f t="shared" ref="BW40" si="64">COUNTIF(BX12:BX38,"L")+COUNTIF(BX12:BX38,"U")</f>
        <v>0</v>
      </c>
      <c r="BX40" s="118"/>
      <c r="BY40" s="117">
        <f t="shared" ref="BY40" si="65">COUNTIF(BZ12:BZ38,"L")+COUNTIF(BZ12:BZ38,"U")</f>
        <v>0</v>
      </c>
      <c r="BZ40" s="118"/>
      <c r="CA40" s="124"/>
      <c r="CB40" s="125"/>
      <c r="CC40" s="126"/>
      <c r="CD40" s="85" t="s">
        <v>25</v>
      </c>
      <c r="CE40" s="86"/>
      <c r="CF40" s="86"/>
      <c r="CG40" s="86"/>
      <c r="CH40" s="86"/>
      <c r="CI40" s="87"/>
    </row>
    <row r="41" spans="2:87" ht="18" customHeight="1" thickBot="1">
      <c r="B41" s="130"/>
      <c r="C41" s="131"/>
      <c r="D41" s="131"/>
      <c r="E41" s="131"/>
      <c r="F41" s="131"/>
      <c r="G41" s="131"/>
      <c r="H41" s="132"/>
      <c r="I41" s="119"/>
      <c r="J41" s="120"/>
      <c r="K41" s="119"/>
      <c r="L41" s="120"/>
      <c r="M41" s="119"/>
      <c r="N41" s="120"/>
      <c r="O41" s="119"/>
      <c r="P41" s="120"/>
      <c r="Q41" s="119"/>
      <c r="R41" s="120"/>
      <c r="S41" s="119"/>
      <c r="T41" s="120"/>
      <c r="U41" s="119"/>
      <c r="V41" s="120"/>
      <c r="W41" s="119"/>
      <c r="X41" s="120"/>
      <c r="Y41" s="119"/>
      <c r="Z41" s="120"/>
      <c r="AA41" s="119"/>
      <c r="AB41" s="120"/>
      <c r="AC41" s="119"/>
      <c r="AD41" s="120"/>
      <c r="AE41" s="119"/>
      <c r="AF41" s="120"/>
      <c r="AG41" s="119"/>
      <c r="AH41" s="120"/>
      <c r="AI41" s="119"/>
      <c r="AJ41" s="120"/>
      <c r="AK41" s="119"/>
      <c r="AL41" s="120"/>
      <c r="AM41" s="119"/>
      <c r="AN41" s="120"/>
      <c r="AO41" s="119"/>
      <c r="AP41" s="120"/>
      <c r="AQ41" s="119"/>
      <c r="AR41" s="120"/>
      <c r="AS41" s="119"/>
      <c r="AT41" s="120"/>
      <c r="AU41" s="119"/>
      <c r="AV41" s="120"/>
      <c r="AW41" s="119"/>
      <c r="AX41" s="120"/>
      <c r="AY41" s="119"/>
      <c r="AZ41" s="120"/>
      <c r="BA41" s="119"/>
      <c r="BB41" s="120"/>
      <c r="BC41" s="119"/>
      <c r="BD41" s="120"/>
      <c r="BE41" s="119"/>
      <c r="BF41" s="120"/>
      <c r="BG41" s="119"/>
      <c r="BH41" s="120"/>
      <c r="BI41" s="119"/>
      <c r="BJ41" s="120"/>
      <c r="BK41" s="119"/>
      <c r="BL41" s="120"/>
      <c r="BM41" s="119"/>
      <c r="BN41" s="120"/>
      <c r="BO41" s="119"/>
      <c r="BP41" s="120"/>
      <c r="BQ41" s="119"/>
      <c r="BR41" s="120"/>
      <c r="BS41" s="119"/>
      <c r="BT41" s="120"/>
      <c r="BU41" s="119"/>
      <c r="BV41" s="120"/>
      <c r="BW41" s="119"/>
      <c r="BX41" s="120"/>
      <c r="BY41" s="119"/>
      <c r="BZ41" s="120"/>
      <c r="CA41" s="104" t="s">
        <v>17</v>
      </c>
      <c r="CB41" s="105"/>
      <c r="CC41" s="106"/>
      <c r="CD41" s="24" t="s">
        <v>26</v>
      </c>
      <c r="CE41" s="24" t="s">
        <v>27</v>
      </c>
      <c r="CF41" s="24" t="s">
        <v>28</v>
      </c>
      <c r="CG41" s="25" t="s">
        <v>29</v>
      </c>
      <c r="CH41" s="24" t="s">
        <v>30</v>
      </c>
      <c r="CI41" s="24" t="s">
        <v>31</v>
      </c>
    </row>
    <row r="42" spans="2:87" ht="37.950000000000003" customHeight="1" thickBot="1">
      <c r="B42" s="108" t="s">
        <v>50</v>
      </c>
      <c r="C42" s="109"/>
      <c r="D42" s="109"/>
      <c r="E42" s="109"/>
      <c r="F42" s="109"/>
      <c r="G42" s="109"/>
      <c r="H42" s="110"/>
      <c r="I42" s="77"/>
      <c r="J42" s="78"/>
      <c r="K42" s="77"/>
      <c r="L42" s="78"/>
      <c r="M42" s="77"/>
      <c r="N42" s="78"/>
      <c r="O42" s="77"/>
      <c r="P42" s="78"/>
      <c r="Q42" s="77"/>
      <c r="R42" s="78"/>
      <c r="S42" s="77"/>
      <c r="T42" s="78"/>
      <c r="U42" s="77"/>
      <c r="V42" s="78"/>
      <c r="W42" s="77"/>
      <c r="X42" s="78"/>
      <c r="Y42" s="77"/>
      <c r="Z42" s="78"/>
      <c r="AA42" s="77"/>
      <c r="AB42" s="78"/>
      <c r="AC42" s="77"/>
      <c r="AD42" s="78"/>
      <c r="AE42" s="77"/>
      <c r="AF42" s="78"/>
      <c r="AG42" s="77"/>
      <c r="AH42" s="78"/>
      <c r="AI42" s="77"/>
      <c r="AJ42" s="78"/>
      <c r="AK42" s="77"/>
      <c r="AL42" s="78"/>
      <c r="AM42" s="77"/>
      <c r="AN42" s="78"/>
      <c r="AO42" s="77"/>
      <c r="AP42" s="78"/>
      <c r="AQ42" s="77"/>
      <c r="AR42" s="78"/>
      <c r="AS42" s="77"/>
      <c r="AT42" s="78"/>
      <c r="AU42" s="77"/>
      <c r="AV42" s="78"/>
      <c r="AW42" s="77"/>
      <c r="AX42" s="78"/>
      <c r="AY42" s="77"/>
      <c r="AZ42" s="78"/>
      <c r="BA42" s="77"/>
      <c r="BB42" s="78"/>
      <c r="BC42" s="77"/>
      <c r="BD42" s="78"/>
      <c r="BE42" s="77"/>
      <c r="BF42" s="78"/>
      <c r="BG42" s="77"/>
      <c r="BH42" s="78"/>
      <c r="BI42" s="77"/>
      <c r="BJ42" s="78"/>
      <c r="BK42" s="77"/>
      <c r="BL42" s="78"/>
      <c r="BM42" s="77"/>
      <c r="BN42" s="78"/>
      <c r="BO42" s="77"/>
      <c r="BP42" s="78"/>
      <c r="BQ42" s="77"/>
      <c r="BR42" s="78"/>
      <c r="BS42" s="77"/>
      <c r="BT42" s="78"/>
      <c r="BU42" s="77"/>
      <c r="BV42" s="78"/>
      <c r="BW42" s="77"/>
      <c r="BX42" s="78"/>
      <c r="BY42" s="77"/>
      <c r="BZ42" s="78"/>
      <c r="CA42" s="101" t="str">
        <f>CA10</f>
        <v xml:space="preserve"> X 1</v>
      </c>
      <c r="CB42" s="102"/>
      <c r="CC42" s="103"/>
      <c r="CD42" s="39"/>
      <c r="CE42" s="38"/>
      <c r="CF42" s="38"/>
      <c r="CG42" s="4"/>
      <c r="CH42" s="32"/>
      <c r="CI42" s="11"/>
    </row>
    <row r="43" spans="2:87" ht="37.950000000000003" customHeight="1" thickBot="1">
      <c r="B43" s="111"/>
      <c r="C43" s="112"/>
      <c r="D43" s="112"/>
      <c r="E43" s="112"/>
      <c r="F43" s="112"/>
      <c r="G43" s="112"/>
      <c r="H43" s="113"/>
      <c r="I43" s="79"/>
      <c r="J43" s="80"/>
      <c r="K43" s="79"/>
      <c r="L43" s="80"/>
      <c r="M43" s="79"/>
      <c r="N43" s="80"/>
      <c r="O43" s="79"/>
      <c r="P43" s="80"/>
      <c r="Q43" s="79"/>
      <c r="R43" s="80"/>
      <c r="S43" s="79"/>
      <c r="T43" s="80"/>
      <c r="U43" s="79"/>
      <c r="V43" s="80"/>
      <c r="W43" s="79"/>
      <c r="X43" s="80"/>
      <c r="Y43" s="79"/>
      <c r="Z43" s="80"/>
      <c r="AA43" s="79"/>
      <c r="AB43" s="80"/>
      <c r="AC43" s="79"/>
      <c r="AD43" s="80"/>
      <c r="AE43" s="79"/>
      <c r="AF43" s="80"/>
      <c r="AG43" s="79"/>
      <c r="AH43" s="80"/>
      <c r="AI43" s="79"/>
      <c r="AJ43" s="80"/>
      <c r="AK43" s="79"/>
      <c r="AL43" s="80"/>
      <c r="AM43" s="79"/>
      <c r="AN43" s="80"/>
      <c r="AO43" s="79"/>
      <c r="AP43" s="80"/>
      <c r="AQ43" s="79"/>
      <c r="AR43" s="80"/>
      <c r="AS43" s="79"/>
      <c r="AT43" s="80"/>
      <c r="AU43" s="79"/>
      <c r="AV43" s="80"/>
      <c r="AW43" s="79"/>
      <c r="AX43" s="80"/>
      <c r="AY43" s="79"/>
      <c r="AZ43" s="80"/>
      <c r="BA43" s="79"/>
      <c r="BB43" s="80"/>
      <c r="BC43" s="79"/>
      <c r="BD43" s="80"/>
      <c r="BE43" s="79"/>
      <c r="BF43" s="80"/>
      <c r="BG43" s="79"/>
      <c r="BH43" s="80"/>
      <c r="BI43" s="79"/>
      <c r="BJ43" s="80"/>
      <c r="BK43" s="79"/>
      <c r="BL43" s="80"/>
      <c r="BM43" s="79"/>
      <c r="BN43" s="80"/>
      <c r="BO43" s="79"/>
      <c r="BP43" s="80"/>
      <c r="BQ43" s="79"/>
      <c r="BR43" s="80"/>
      <c r="BS43" s="79"/>
      <c r="BT43" s="80"/>
      <c r="BU43" s="79"/>
      <c r="BV43" s="80"/>
      <c r="BW43" s="79"/>
      <c r="BX43" s="80"/>
      <c r="BY43" s="79"/>
      <c r="BZ43" s="80"/>
      <c r="CA43" s="101" t="str">
        <f>F39</f>
        <v xml:space="preserve">1 x </v>
      </c>
      <c r="CB43" s="102"/>
      <c r="CC43" s="103"/>
      <c r="CD43" s="4"/>
      <c r="CE43" s="37"/>
      <c r="CF43" s="37"/>
      <c r="CG43" s="35"/>
      <c r="CH43" s="37"/>
      <c r="CI43" s="36"/>
    </row>
    <row r="44" spans="2:87" ht="18" customHeight="1" thickBot="1">
      <c r="B44" s="111"/>
      <c r="C44" s="112"/>
      <c r="D44" s="112"/>
      <c r="E44" s="112"/>
      <c r="F44" s="112"/>
      <c r="G44" s="112"/>
      <c r="H44" s="113"/>
      <c r="I44" s="79"/>
      <c r="J44" s="80"/>
      <c r="K44" s="79"/>
      <c r="L44" s="80"/>
      <c r="M44" s="79"/>
      <c r="N44" s="80"/>
      <c r="O44" s="79"/>
      <c r="P44" s="80"/>
      <c r="Q44" s="79"/>
      <c r="R44" s="80"/>
      <c r="S44" s="79"/>
      <c r="T44" s="80"/>
      <c r="U44" s="79"/>
      <c r="V44" s="80"/>
      <c r="W44" s="79"/>
      <c r="X44" s="80"/>
      <c r="Y44" s="79"/>
      <c r="Z44" s="80"/>
      <c r="AA44" s="79"/>
      <c r="AB44" s="80"/>
      <c r="AC44" s="79"/>
      <c r="AD44" s="80"/>
      <c r="AE44" s="79"/>
      <c r="AF44" s="80"/>
      <c r="AG44" s="79"/>
      <c r="AH44" s="80"/>
      <c r="AI44" s="79"/>
      <c r="AJ44" s="80"/>
      <c r="AK44" s="79"/>
      <c r="AL44" s="80"/>
      <c r="AM44" s="79"/>
      <c r="AN44" s="80"/>
      <c r="AO44" s="79"/>
      <c r="AP44" s="80"/>
      <c r="AQ44" s="79"/>
      <c r="AR44" s="80"/>
      <c r="AS44" s="79"/>
      <c r="AT44" s="80"/>
      <c r="AU44" s="79"/>
      <c r="AV44" s="80"/>
      <c r="AW44" s="79"/>
      <c r="AX44" s="80"/>
      <c r="AY44" s="79"/>
      <c r="AZ44" s="80"/>
      <c r="BA44" s="79"/>
      <c r="BB44" s="80"/>
      <c r="BC44" s="79"/>
      <c r="BD44" s="80"/>
      <c r="BE44" s="79"/>
      <c r="BF44" s="80"/>
      <c r="BG44" s="79"/>
      <c r="BH44" s="80"/>
      <c r="BI44" s="79"/>
      <c r="BJ44" s="80"/>
      <c r="BK44" s="79"/>
      <c r="BL44" s="80"/>
      <c r="BM44" s="79"/>
      <c r="BN44" s="80"/>
      <c r="BO44" s="79"/>
      <c r="BP44" s="80"/>
      <c r="BQ44" s="79"/>
      <c r="BR44" s="80"/>
      <c r="BS44" s="79"/>
      <c r="BT44" s="80"/>
      <c r="BU44" s="79"/>
      <c r="BV44" s="80"/>
      <c r="BW44" s="79"/>
      <c r="BX44" s="80"/>
      <c r="BY44" s="79"/>
      <c r="BZ44" s="80"/>
      <c r="CA44" s="104" t="s">
        <v>17</v>
      </c>
      <c r="CB44" s="105"/>
      <c r="CC44" s="106"/>
      <c r="CD44" s="24" t="s">
        <v>32</v>
      </c>
      <c r="CE44" s="26" t="s">
        <v>33</v>
      </c>
      <c r="CF44" s="23" t="s">
        <v>34</v>
      </c>
      <c r="CG44" s="23" t="s">
        <v>35</v>
      </c>
      <c r="CH44" s="26" t="s">
        <v>36</v>
      </c>
      <c r="CI44" s="24" t="s">
        <v>37</v>
      </c>
    </row>
    <row r="45" spans="2:87" ht="37.950000000000003" customHeight="1" thickBot="1">
      <c r="B45" s="111"/>
      <c r="C45" s="112"/>
      <c r="D45" s="112"/>
      <c r="E45" s="112"/>
      <c r="F45" s="112"/>
      <c r="G45" s="112"/>
      <c r="H45" s="113"/>
      <c r="I45" s="79"/>
      <c r="J45" s="80"/>
      <c r="K45" s="79"/>
      <c r="L45" s="80"/>
      <c r="M45" s="79"/>
      <c r="N45" s="80"/>
      <c r="O45" s="79"/>
      <c r="P45" s="80"/>
      <c r="Q45" s="79"/>
      <c r="R45" s="80"/>
      <c r="S45" s="79"/>
      <c r="T45" s="80"/>
      <c r="U45" s="79"/>
      <c r="V45" s="80"/>
      <c r="W45" s="79"/>
      <c r="X45" s="80"/>
      <c r="Y45" s="79"/>
      <c r="Z45" s="80"/>
      <c r="AA45" s="79"/>
      <c r="AB45" s="80"/>
      <c r="AC45" s="79"/>
      <c r="AD45" s="80"/>
      <c r="AE45" s="79"/>
      <c r="AF45" s="80"/>
      <c r="AG45" s="79"/>
      <c r="AH45" s="80"/>
      <c r="AI45" s="79"/>
      <c r="AJ45" s="80"/>
      <c r="AK45" s="79"/>
      <c r="AL45" s="80"/>
      <c r="AM45" s="79"/>
      <c r="AN45" s="80"/>
      <c r="AO45" s="79"/>
      <c r="AP45" s="80"/>
      <c r="AQ45" s="79"/>
      <c r="AR45" s="80"/>
      <c r="AS45" s="79"/>
      <c r="AT45" s="80"/>
      <c r="AU45" s="79"/>
      <c r="AV45" s="80"/>
      <c r="AW45" s="79"/>
      <c r="AX45" s="80"/>
      <c r="AY45" s="79"/>
      <c r="AZ45" s="80"/>
      <c r="BA45" s="79"/>
      <c r="BB45" s="80"/>
      <c r="BC45" s="79"/>
      <c r="BD45" s="80"/>
      <c r="BE45" s="79"/>
      <c r="BF45" s="80"/>
      <c r="BG45" s="79"/>
      <c r="BH45" s="80"/>
      <c r="BI45" s="79"/>
      <c r="BJ45" s="80"/>
      <c r="BK45" s="79"/>
      <c r="BL45" s="80"/>
      <c r="BM45" s="79"/>
      <c r="BN45" s="80"/>
      <c r="BO45" s="79"/>
      <c r="BP45" s="80"/>
      <c r="BQ45" s="79"/>
      <c r="BR45" s="80"/>
      <c r="BS45" s="79"/>
      <c r="BT45" s="80"/>
      <c r="BU45" s="79"/>
      <c r="BV45" s="80"/>
      <c r="BW45" s="79"/>
      <c r="BX45" s="80"/>
      <c r="BY45" s="79"/>
      <c r="BZ45" s="80"/>
      <c r="CA45" s="101" t="str">
        <f>CA42</f>
        <v xml:space="preserve"> X 1</v>
      </c>
      <c r="CB45" s="102"/>
      <c r="CC45" s="103"/>
      <c r="CD45" s="4"/>
      <c r="CE45" s="29"/>
      <c r="CF45" s="31"/>
      <c r="CG45" s="32"/>
      <c r="CH45" s="4"/>
      <c r="CI45" s="34"/>
    </row>
    <row r="46" spans="2:87" ht="37.950000000000003" customHeight="1" thickBot="1">
      <c r="B46" s="111"/>
      <c r="C46" s="112"/>
      <c r="D46" s="112"/>
      <c r="E46" s="112"/>
      <c r="F46" s="112"/>
      <c r="G46" s="112"/>
      <c r="H46" s="113"/>
      <c r="I46" s="79"/>
      <c r="J46" s="80"/>
      <c r="K46" s="79"/>
      <c r="L46" s="80"/>
      <c r="M46" s="79"/>
      <c r="N46" s="80"/>
      <c r="O46" s="79"/>
      <c r="P46" s="80"/>
      <c r="Q46" s="79"/>
      <c r="R46" s="80"/>
      <c r="S46" s="79"/>
      <c r="T46" s="80"/>
      <c r="U46" s="79"/>
      <c r="V46" s="80"/>
      <c r="W46" s="79"/>
      <c r="X46" s="80"/>
      <c r="Y46" s="79"/>
      <c r="Z46" s="80"/>
      <c r="AA46" s="79"/>
      <c r="AB46" s="80"/>
      <c r="AC46" s="79"/>
      <c r="AD46" s="80"/>
      <c r="AE46" s="79"/>
      <c r="AF46" s="80"/>
      <c r="AG46" s="79"/>
      <c r="AH46" s="80"/>
      <c r="AI46" s="79"/>
      <c r="AJ46" s="80"/>
      <c r="AK46" s="79"/>
      <c r="AL46" s="80"/>
      <c r="AM46" s="79"/>
      <c r="AN46" s="80"/>
      <c r="AO46" s="79"/>
      <c r="AP46" s="80"/>
      <c r="AQ46" s="79"/>
      <c r="AR46" s="80"/>
      <c r="AS46" s="79"/>
      <c r="AT46" s="80"/>
      <c r="AU46" s="79"/>
      <c r="AV46" s="80"/>
      <c r="AW46" s="79"/>
      <c r="AX46" s="80"/>
      <c r="AY46" s="79"/>
      <c r="AZ46" s="80"/>
      <c r="BA46" s="79"/>
      <c r="BB46" s="80"/>
      <c r="BC46" s="79"/>
      <c r="BD46" s="80"/>
      <c r="BE46" s="79"/>
      <c r="BF46" s="80"/>
      <c r="BG46" s="79"/>
      <c r="BH46" s="80"/>
      <c r="BI46" s="79"/>
      <c r="BJ46" s="80"/>
      <c r="BK46" s="79"/>
      <c r="BL46" s="80"/>
      <c r="BM46" s="79"/>
      <c r="BN46" s="80"/>
      <c r="BO46" s="79"/>
      <c r="BP46" s="80"/>
      <c r="BQ46" s="79"/>
      <c r="BR46" s="80"/>
      <c r="BS46" s="79"/>
      <c r="BT46" s="80"/>
      <c r="BU46" s="79"/>
      <c r="BV46" s="80"/>
      <c r="BW46" s="79"/>
      <c r="BX46" s="80"/>
      <c r="BY46" s="79"/>
      <c r="BZ46" s="80"/>
      <c r="CA46" s="101" t="str">
        <f>CA43</f>
        <v xml:space="preserve">1 x </v>
      </c>
      <c r="CB46" s="102"/>
      <c r="CC46" s="103"/>
      <c r="CD46" s="27"/>
      <c r="CE46" s="30"/>
      <c r="CF46" s="28"/>
      <c r="CG46" s="30"/>
      <c r="CH46" s="30"/>
      <c r="CI46" s="33"/>
    </row>
    <row r="47" spans="2:87" ht="30" customHeight="1">
      <c r="B47" s="111"/>
      <c r="C47" s="112"/>
      <c r="D47" s="112"/>
      <c r="E47" s="112"/>
      <c r="F47" s="112"/>
      <c r="G47" s="112"/>
      <c r="H47" s="113"/>
      <c r="I47" s="79"/>
      <c r="J47" s="80"/>
      <c r="K47" s="79"/>
      <c r="L47" s="80"/>
      <c r="M47" s="79"/>
      <c r="N47" s="80"/>
      <c r="O47" s="79"/>
      <c r="P47" s="80"/>
      <c r="Q47" s="79"/>
      <c r="R47" s="80"/>
      <c r="S47" s="79"/>
      <c r="T47" s="80"/>
      <c r="U47" s="79"/>
      <c r="V47" s="80"/>
      <c r="W47" s="79"/>
      <c r="X47" s="80"/>
      <c r="Y47" s="79"/>
      <c r="Z47" s="80"/>
      <c r="AA47" s="79"/>
      <c r="AB47" s="80"/>
      <c r="AC47" s="79"/>
      <c r="AD47" s="80"/>
      <c r="AE47" s="79"/>
      <c r="AF47" s="80"/>
      <c r="AG47" s="79"/>
      <c r="AH47" s="80"/>
      <c r="AI47" s="79"/>
      <c r="AJ47" s="80"/>
      <c r="AK47" s="79"/>
      <c r="AL47" s="80"/>
      <c r="AM47" s="79"/>
      <c r="AN47" s="80"/>
      <c r="AO47" s="79"/>
      <c r="AP47" s="80"/>
      <c r="AQ47" s="79"/>
      <c r="AR47" s="80"/>
      <c r="AS47" s="79"/>
      <c r="AT47" s="80"/>
      <c r="AU47" s="79"/>
      <c r="AV47" s="80"/>
      <c r="AW47" s="79"/>
      <c r="AX47" s="80"/>
      <c r="AY47" s="79"/>
      <c r="AZ47" s="80"/>
      <c r="BA47" s="79"/>
      <c r="BB47" s="80"/>
      <c r="BC47" s="79"/>
      <c r="BD47" s="80"/>
      <c r="BE47" s="79"/>
      <c r="BF47" s="80"/>
      <c r="BG47" s="79"/>
      <c r="BH47" s="80"/>
      <c r="BI47" s="79"/>
      <c r="BJ47" s="80"/>
      <c r="BK47" s="79"/>
      <c r="BL47" s="80"/>
      <c r="BM47" s="79"/>
      <c r="BN47" s="80"/>
      <c r="BO47" s="79"/>
      <c r="BP47" s="80"/>
      <c r="BQ47" s="79"/>
      <c r="BR47" s="80"/>
      <c r="BS47" s="79"/>
      <c r="BT47" s="80"/>
      <c r="BU47" s="79"/>
      <c r="BV47" s="80"/>
      <c r="BW47" s="79"/>
      <c r="BX47" s="80"/>
      <c r="BY47" s="79"/>
      <c r="BZ47" s="80"/>
      <c r="CA47" s="107" t="s">
        <v>38</v>
      </c>
      <c r="CB47" s="93"/>
      <c r="CC47" s="93"/>
      <c r="CD47" s="92" t="s">
        <v>39</v>
      </c>
      <c r="CE47" s="93"/>
      <c r="CF47" s="93"/>
      <c r="CG47" s="93"/>
      <c r="CH47" s="93"/>
      <c r="CI47" s="94"/>
    </row>
    <row r="48" spans="2:87" ht="37.35" customHeight="1">
      <c r="B48" s="111"/>
      <c r="C48" s="112"/>
      <c r="D48" s="112"/>
      <c r="E48" s="112"/>
      <c r="F48" s="112"/>
      <c r="G48" s="112"/>
      <c r="H48" s="113"/>
      <c r="I48" s="79"/>
      <c r="J48" s="80"/>
      <c r="K48" s="79"/>
      <c r="L48" s="80"/>
      <c r="M48" s="79"/>
      <c r="N48" s="80"/>
      <c r="O48" s="79"/>
      <c r="P48" s="80"/>
      <c r="Q48" s="79"/>
      <c r="R48" s="80"/>
      <c r="S48" s="79"/>
      <c r="T48" s="80"/>
      <c r="U48" s="79"/>
      <c r="V48" s="80"/>
      <c r="W48" s="79"/>
      <c r="X48" s="80"/>
      <c r="Y48" s="79"/>
      <c r="Z48" s="80"/>
      <c r="AA48" s="79"/>
      <c r="AB48" s="80"/>
      <c r="AC48" s="79"/>
      <c r="AD48" s="80"/>
      <c r="AE48" s="79"/>
      <c r="AF48" s="80"/>
      <c r="AG48" s="79"/>
      <c r="AH48" s="80"/>
      <c r="AI48" s="79"/>
      <c r="AJ48" s="80"/>
      <c r="AK48" s="79"/>
      <c r="AL48" s="80"/>
      <c r="AM48" s="79"/>
      <c r="AN48" s="80"/>
      <c r="AO48" s="79"/>
      <c r="AP48" s="80"/>
      <c r="AQ48" s="79"/>
      <c r="AR48" s="80"/>
      <c r="AS48" s="79"/>
      <c r="AT48" s="80"/>
      <c r="AU48" s="79"/>
      <c r="AV48" s="80"/>
      <c r="AW48" s="79"/>
      <c r="AX48" s="80"/>
      <c r="AY48" s="79"/>
      <c r="AZ48" s="80"/>
      <c r="BA48" s="79"/>
      <c r="BB48" s="80"/>
      <c r="BC48" s="79"/>
      <c r="BD48" s="80"/>
      <c r="BE48" s="79"/>
      <c r="BF48" s="80"/>
      <c r="BG48" s="79"/>
      <c r="BH48" s="80"/>
      <c r="BI48" s="79"/>
      <c r="BJ48" s="80"/>
      <c r="BK48" s="79"/>
      <c r="BL48" s="80"/>
      <c r="BM48" s="79"/>
      <c r="BN48" s="80"/>
      <c r="BO48" s="79"/>
      <c r="BP48" s="80"/>
      <c r="BQ48" s="79"/>
      <c r="BR48" s="80"/>
      <c r="BS48" s="79"/>
      <c r="BT48" s="80"/>
      <c r="BU48" s="79"/>
      <c r="BV48" s="80"/>
      <c r="BW48" s="79"/>
      <c r="BX48" s="80"/>
      <c r="BY48" s="79"/>
      <c r="BZ48" s="80"/>
      <c r="CA48" s="62" t="s">
        <v>20</v>
      </c>
      <c r="CB48" s="63"/>
      <c r="CC48" s="95"/>
      <c r="CD48" s="61" t="s">
        <v>40</v>
      </c>
      <c r="CE48" s="44"/>
      <c r="CF48" s="44"/>
      <c r="CG48" s="44"/>
      <c r="CH48" s="44"/>
      <c r="CI48" s="45"/>
    </row>
    <row r="49" spans="2:87" ht="37.35" customHeight="1">
      <c r="B49" s="111"/>
      <c r="C49" s="112"/>
      <c r="D49" s="112"/>
      <c r="E49" s="112"/>
      <c r="F49" s="112"/>
      <c r="G49" s="112"/>
      <c r="H49" s="113"/>
      <c r="I49" s="79"/>
      <c r="J49" s="80"/>
      <c r="K49" s="79"/>
      <c r="L49" s="80"/>
      <c r="M49" s="79"/>
      <c r="N49" s="80"/>
      <c r="O49" s="79"/>
      <c r="P49" s="80"/>
      <c r="Q49" s="79"/>
      <c r="R49" s="80"/>
      <c r="S49" s="79"/>
      <c r="T49" s="80"/>
      <c r="U49" s="79"/>
      <c r="V49" s="80"/>
      <c r="W49" s="79"/>
      <c r="X49" s="80"/>
      <c r="Y49" s="79"/>
      <c r="Z49" s="80"/>
      <c r="AA49" s="79"/>
      <c r="AB49" s="80"/>
      <c r="AC49" s="79"/>
      <c r="AD49" s="80"/>
      <c r="AE49" s="79"/>
      <c r="AF49" s="80"/>
      <c r="AG49" s="79"/>
      <c r="AH49" s="80"/>
      <c r="AI49" s="79"/>
      <c r="AJ49" s="80"/>
      <c r="AK49" s="79"/>
      <c r="AL49" s="80"/>
      <c r="AM49" s="79"/>
      <c r="AN49" s="80"/>
      <c r="AO49" s="79"/>
      <c r="AP49" s="80"/>
      <c r="AQ49" s="79"/>
      <c r="AR49" s="80"/>
      <c r="AS49" s="79"/>
      <c r="AT49" s="80"/>
      <c r="AU49" s="79"/>
      <c r="AV49" s="80"/>
      <c r="AW49" s="79"/>
      <c r="AX49" s="80"/>
      <c r="AY49" s="79"/>
      <c r="AZ49" s="80"/>
      <c r="BA49" s="79"/>
      <c r="BB49" s="80"/>
      <c r="BC49" s="79"/>
      <c r="BD49" s="80"/>
      <c r="BE49" s="79"/>
      <c r="BF49" s="80"/>
      <c r="BG49" s="79"/>
      <c r="BH49" s="80"/>
      <c r="BI49" s="79"/>
      <c r="BJ49" s="80"/>
      <c r="BK49" s="79"/>
      <c r="BL49" s="80"/>
      <c r="BM49" s="79"/>
      <c r="BN49" s="80"/>
      <c r="BO49" s="79"/>
      <c r="BP49" s="80"/>
      <c r="BQ49" s="79"/>
      <c r="BR49" s="80"/>
      <c r="BS49" s="79"/>
      <c r="BT49" s="80"/>
      <c r="BU49" s="79"/>
      <c r="BV49" s="80"/>
      <c r="BW49" s="79"/>
      <c r="BX49" s="80"/>
      <c r="BY49" s="79"/>
      <c r="BZ49" s="80"/>
      <c r="CA49" s="96" t="s">
        <v>19</v>
      </c>
      <c r="CB49" s="97"/>
      <c r="CC49" s="98"/>
      <c r="CD49" s="99" t="s">
        <v>41</v>
      </c>
      <c r="CE49" s="99"/>
      <c r="CF49" s="99"/>
      <c r="CG49" s="99"/>
      <c r="CH49" s="99"/>
      <c r="CI49" s="100"/>
    </row>
    <row r="50" spans="2:87" ht="44.4" customHeight="1">
      <c r="B50" s="111"/>
      <c r="C50" s="112"/>
      <c r="D50" s="112"/>
      <c r="E50" s="112"/>
      <c r="F50" s="112"/>
      <c r="G50" s="112"/>
      <c r="H50" s="113"/>
      <c r="I50" s="67"/>
      <c r="J50" s="68"/>
      <c r="K50" s="67"/>
      <c r="L50" s="68"/>
      <c r="M50" s="67"/>
      <c r="N50" s="68"/>
      <c r="O50" s="67"/>
      <c r="P50" s="68"/>
      <c r="Q50" s="67"/>
      <c r="R50" s="68"/>
      <c r="S50" s="67"/>
      <c r="T50" s="68"/>
      <c r="U50" s="67"/>
      <c r="V50" s="68"/>
      <c r="W50" s="67"/>
      <c r="X50" s="68"/>
      <c r="Y50" s="67"/>
      <c r="Z50" s="68"/>
      <c r="AA50" s="67"/>
      <c r="AB50" s="68"/>
      <c r="AC50" s="67"/>
      <c r="AD50" s="68"/>
      <c r="AE50" s="67"/>
      <c r="AF50" s="68"/>
      <c r="AG50" s="67"/>
      <c r="AH50" s="68"/>
      <c r="AI50" s="67"/>
      <c r="AJ50" s="68"/>
      <c r="AK50" s="67"/>
      <c r="AL50" s="68"/>
      <c r="AM50" s="67"/>
      <c r="AN50" s="68"/>
      <c r="AO50" s="67"/>
      <c r="AP50" s="68"/>
      <c r="AQ50" s="67"/>
      <c r="AR50" s="68"/>
      <c r="AS50" s="67"/>
      <c r="AT50" s="68"/>
      <c r="AU50" s="67"/>
      <c r="AV50" s="68"/>
      <c r="AW50" s="67"/>
      <c r="AX50" s="68"/>
      <c r="AY50" s="67"/>
      <c r="AZ50" s="68"/>
      <c r="BA50" s="67"/>
      <c r="BB50" s="68"/>
      <c r="BC50" s="67"/>
      <c r="BD50" s="68"/>
      <c r="BE50" s="67"/>
      <c r="BF50" s="68"/>
      <c r="BG50" s="67"/>
      <c r="BH50" s="68"/>
      <c r="BI50" s="67"/>
      <c r="BJ50" s="68"/>
      <c r="BK50" s="67"/>
      <c r="BL50" s="68"/>
      <c r="BM50" s="67"/>
      <c r="BN50" s="68"/>
      <c r="BO50" s="67"/>
      <c r="BP50" s="68"/>
      <c r="BQ50" s="67"/>
      <c r="BR50" s="68"/>
      <c r="BS50" s="67"/>
      <c r="BT50" s="68"/>
      <c r="BU50" s="67"/>
      <c r="BV50" s="68"/>
      <c r="BW50" s="67"/>
      <c r="BX50" s="68"/>
      <c r="BY50" s="67"/>
      <c r="BZ50" s="68"/>
      <c r="CA50" s="96" t="s">
        <v>21</v>
      </c>
      <c r="CB50" s="97"/>
      <c r="CC50" s="98"/>
      <c r="CD50" s="74" t="s">
        <v>42</v>
      </c>
      <c r="CE50" s="75"/>
      <c r="CF50" s="75"/>
      <c r="CG50" s="75"/>
      <c r="CH50" s="75"/>
      <c r="CI50" s="76"/>
    </row>
    <row r="51" spans="2:87" ht="32.4" customHeight="1">
      <c r="B51" s="111"/>
      <c r="C51" s="112"/>
      <c r="D51" s="112"/>
      <c r="E51" s="112"/>
      <c r="F51" s="112"/>
      <c r="G51" s="112"/>
      <c r="H51" s="113"/>
      <c r="I51" s="67"/>
      <c r="J51" s="68"/>
      <c r="K51" s="67"/>
      <c r="L51" s="68"/>
      <c r="M51" s="67"/>
      <c r="N51" s="68"/>
      <c r="O51" s="67"/>
      <c r="P51" s="68"/>
      <c r="Q51" s="67"/>
      <c r="R51" s="68"/>
      <c r="S51" s="67"/>
      <c r="T51" s="68"/>
      <c r="U51" s="67"/>
      <c r="V51" s="68"/>
      <c r="W51" s="67"/>
      <c r="X51" s="68"/>
      <c r="Y51" s="67"/>
      <c r="Z51" s="68"/>
      <c r="AA51" s="67"/>
      <c r="AB51" s="68"/>
      <c r="AC51" s="67"/>
      <c r="AD51" s="68"/>
      <c r="AE51" s="67"/>
      <c r="AF51" s="68"/>
      <c r="AG51" s="67"/>
      <c r="AH51" s="68"/>
      <c r="AI51" s="67"/>
      <c r="AJ51" s="68"/>
      <c r="AK51" s="67"/>
      <c r="AL51" s="68"/>
      <c r="AM51" s="67"/>
      <c r="AN51" s="68"/>
      <c r="AO51" s="67"/>
      <c r="AP51" s="68"/>
      <c r="AQ51" s="67"/>
      <c r="AR51" s="68"/>
      <c r="AS51" s="67"/>
      <c r="AT51" s="68"/>
      <c r="AU51" s="67"/>
      <c r="AV51" s="68"/>
      <c r="AW51" s="67"/>
      <c r="AX51" s="68"/>
      <c r="AY51" s="67"/>
      <c r="AZ51" s="68"/>
      <c r="BA51" s="67"/>
      <c r="BB51" s="68"/>
      <c r="BC51" s="67"/>
      <c r="BD51" s="68"/>
      <c r="BE51" s="67"/>
      <c r="BF51" s="68"/>
      <c r="BG51" s="67"/>
      <c r="BH51" s="68"/>
      <c r="BI51" s="67"/>
      <c r="BJ51" s="68"/>
      <c r="BK51" s="67"/>
      <c r="BL51" s="68"/>
      <c r="BM51" s="67"/>
      <c r="BN51" s="68"/>
      <c r="BO51" s="67"/>
      <c r="BP51" s="68"/>
      <c r="BQ51" s="67"/>
      <c r="BR51" s="68"/>
      <c r="BS51" s="67"/>
      <c r="BT51" s="68"/>
      <c r="BU51" s="67"/>
      <c r="BV51" s="68"/>
      <c r="BW51" s="67"/>
      <c r="BX51" s="68"/>
      <c r="BY51" s="67"/>
      <c r="BZ51" s="68"/>
      <c r="CA51" s="58" t="s">
        <v>43</v>
      </c>
      <c r="CB51" s="59"/>
      <c r="CC51" s="60"/>
      <c r="CD51" s="61" t="s">
        <v>44</v>
      </c>
      <c r="CE51" s="44"/>
      <c r="CF51" s="44"/>
      <c r="CG51" s="44"/>
      <c r="CH51" s="44"/>
      <c r="CI51" s="45"/>
    </row>
    <row r="52" spans="2:87" ht="37.200000000000003" customHeight="1">
      <c r="B52" s="111"/>
      <c r="C52" s="112"/>
      <c r="D52" s="112"/>
      <c r="E52" s="112"/>
      <c r="F52" s="112"/>
      <c r="G52" s="112"/>
      <c r="H52" s="113"/>
      <c r="I52" s="67"/>
      <c r="J52" s="68"/>
      <c r="K52" s="67"/>
      <c r="L52" s="68"/>
      <c r="M52" s="67"/>
      <c r="N52" s="68"/>
      <c r="O52" s="67"/>
      <c r="P52" s="68"/>
      <c r="Q52" s="67"/>
      <c r="R52" s="68"/>
      <c r="S52" s="67"/>
      <c r="T52" s="68"/>
      <c r="U52" s="67"/>
      <c r="V52" s="68"/>
      <c r="W52" s="67"/>
      <c r="X52" s="68"/>
      <c r="Y52" s="67"/>
      <c r="Z52" s="68"/>
      <c r="AA52" s="67"/>
      <c r="AB52" s="68"/>
      <c r="AC52" s="67"/>
      <c r="AD52" s="68"/>
      <c r="AE52" s="67"/>
      <c r="AF52" s="68"/>
      <c r="AG52" s="67"/>
      <c r="AH52" s="68"/>
      <c r="AI52" s="67"/>
      <c r="AJ52" s="68"/>
      <c r="AK52" s="67"/>
      <c r="AL52" s="68"/>
      <c r="AM52" s="67"/>
      <c r="AN52" s="68"/>
      <c r="AO52" s="67"/>
      <c r="AP52" s="68"/>
      <c r="AQ52" s="67"/>
      <c r="AR52" s="68"/>
      <c r="AS52" s="67"/>
      <c r="AT52" s="68"/>
      <c r="AU52" s="67"/>
      <c r="AV52" s="68"/>
      <c r="AW52" s="67"/>
      <c r="AX52" s="68"/>
      <c r="AY52" s="67"/>
      <c r="AZ52" s="68"/>
      <c r="BA52" s="67"/>
      <c r="BB52" s="68"/>
      <c r="BC52" s="67"/>
      <c r="BD52" s="68"/>
      <c r="BE52" s="67"/>
      <c r="BF52" s="68"/>
      <c r="BG52" s="67"/>
      <c r="BH52" s="68"/>
      <c r="BI52" s="67"/>
      <c r="BJ52" s="68"/>
      <c r="BK52" s="67"/>
      <c r="BL52" s="68"/>
      <c r="BM52" s="67"/>
      <c r="BN52" s="68"/>
      <c r="BO52" s="67"/>
      <c r="BP52" s="68"/>
      <c r="BQ52" s="67"/>
      <c r="BR52" s="68"/>
      <c r="BS52" s="67"/>
      <c r="BT52" s="68"/>
      <c r="BU52" s="67"/>
      <c r="BV52" s="68"/>
      <c r="BW52" s="67"/>
      <c r="BX52" s="68"/>
      <c r="BY52" s="67"/>
      <c r="BZ52" s="68"/>
      <c r="CA52" s="62" t="s">
        <v>45</v>
      </c>
      <c r="CB52" s="63"/>
      <c r="CC52" s="63"/>
      <c r="CD52" s="64" t="s">
        <v>51</v>
      </c>
      <c r="CE52" s="65"/>
      <c r="CF52" s="65"/>
      <c r="CG52" s="65"/>
      <c r="CH52" s="65"/>
      <c r="CI52" s="66"/>
    </row>
    <row r="53" spans="2:87" ht="37.200000000000003" customHeight="1" thickBot="1">
      <c r="B53" s="114"/>
      <c r="C53" s="115"/>
      <c r="D53" s="115"/>
      <c r="E53" s="115"/>
      <c r="F53" s="115"/>
      <c r="G53" s="115"/>
      <c r="H53" s="116"/>
      <c r="I53" s="69"/>
      <c r="J53" s="70"/>
      <c r="K53" s="69"/>
      <c r="L53" s="70"/>
      <c r="M53" s="69"/>
      <c r="N53" s="70"/>
      <c r="O53" s="69"/>
      <c r="P53" s="70"/>
      <c r="Q53" s="69"/>
      <c r="R53" s="70"/>
      <c r="S53" s="69"/>
      <c r="T53" s="70"/>
      <c r="U53" s="69"/>
      <c r="V53" s="70"/>
      <c r="W53" s="69"/>
      <c r="X53" s="70"/>
      <c r="Y53" s="69"/>
      <c r="Z53" s="70"/>
      <c r="AA53" s="69"/>
      <c r="AB53" s="70"/>
      <c r="AC53" s="69"/>
      <c r="AD53" s="70"/>
      <c r="AE53" s="69"/>
      <c r="AF53" s="70"/>
      <c r="AG53" s="69"/>
      <c r="AH53" s="70"/>
      <c r="AI53" s="69"/>
      <c r="AJ53" s="70"/>
      <c r="AK53" s="69"/>
      <c r="AL53" s="70"/>
      <c r="AM53" s="69"/>
      <c r="AN53" s="70"/>
      <c r="AO53" s="69"/>
      <c r="AP53" s="70"/>
      <c r="AQ53" s="69"/>
      <c r="AR53" s="70"/>
      <c r="AS53" s="69"/>
      <c r="AT53" s="70"/>
      <c r="AU53" s="69"/>
      <c r="AV53" s="70"/>
      <c r="AW53" s="69"/>
      <c r="AX53" s="70"/>
      <c r="AY53" s="69"/>
      <c r="AZ53" s="70"/>
      <c r="BA53" s="69"/>
      <c r="BB53" s="70"/>
      <c r="BC53" s="69"/>
      <c r="BD53" s="70"/>
      <c r="BE53" s="69"/>
      <c r="BF53" s="70"/>
      <c r="BG53" s="69"/>
      <c r="BH53" s="70"/>
      <c r="BI53" s="69"/>
      <c r="BJ53" s="70"/>
      <c r="BK53" s="69"/>
      <c r="BL53" s="70"/>
      <c r="BM53" s="69"/>
      <c r="BN53" s="70"/>
      <c r="BO53" s="69"/>
      <c r="BP53" s="70"/>
      <c r="BQ53" s="69"/>
      <c r="BR53" s="70"/>
      <c r="BS53" s="69"/>
      <c r="BT53" s="70"/>
      <c r="BU53" s="69"/>
      <c r="BV53" s="70"/>
      <c r="BW53" s="69"/>
      <c r="BX53" s="70"/>
      <c r="BY53" s="69"/>
      <c r="BZ53" s="70"/>
      <c r="CA53" s="49"/>
      <c r="CB53" s="50"/>
      <c r="CC53" s="51"/>
      <c r="CD53" s="57" t="s">
        <v>46</v>
      </c>
      <c r="CE53" s="47"/>
      <c r="CF53" s="47"/>
      <c r="CG53" s="47"/>
      <c r="CH53" s="47"/>
      <c r="CI53" s="48"/>
    </row>
  </sheetData>
  <mergeCells count="379">
    <mergeCell ref="B4:G4"/>
    <mergeCell ref="H4:O4"/>
    <mergeCell ref="P4:W4"/>
    <mergeCell ref="X4:AH4"/>
    <mergeCell ref="AI4:AT4"/>
    <mergeCell ref="AU4:BZ4"/>
    <mergeCell ref="B2:CI2"/>
    <mergeCell ref="B3:G3"/>
    <mergeCell ref="H3:O3"/>
    <mergeCell ref="P3:W3"/>
    <mergeCell ref="X3:AH3"/>
    <mergeCell ref="AI3:AT3"/>
    <mergeCell ref="AU3:BZ3"/>
    <mergeCell ref="CA3:CG3"/>
    <mergeCell ref="CH3:CI3"/>
    <mergeCell ref="I5:J5"/>
    <mergeCell ref="K5:L5"/>
    <mergeCell ref="M5:N5"/>
    <mergeCell ref="O5:P5"/>
    <mergeCell ref="Q5:R5"/>
    <mergeCell ref="S5:T5"/>
    <mergeCell ref="U5:V5"/>
    <mergeCell ref="W5:X5"/>
    <mergeCell ref="Y5:Z5"/>
    <mergeCell ref="AA5:AB5"/>
    <mergeCell ref="AC5:AD5"/>
    <mergeCell ref="AE5:AF5"/>
    <mergeCell ref="AG5:AH5"/>
    <mergeCell ref="AI5:AJ5"/>
    <mergeCell ref="AK5:AL5"/>
    <mergeCell ref="CA4:CG4"/>
    <mergeCell ref="BW5:BX5"/>
    <mergeCell ref="BY5:BZ5"/>
    <mergeCell ref="BQ5:BR5"/>
    <mergeCell ref="BS5:BT5"/>
    <mergeCell ref="BU5:BV5"/>
    <mergeCell ref="AM5:AN5"/>
    <mergeCell ref="AO5:AP5"/>
    <mergeCell ref="AQ5:AR5"/>
    <mergeCell ref="AS5:AT5"/>
    <mergeCell ref="AI6:AJ9"/>
    <mergeCell ref="AK6:AL9"/>
    <mergeCell ref="AM6:AN9"/>
    <mergeCell ref="BK5:BL5"/>
    <mergeCell ref="BM5:BN5"/>
    <mergeCell ref="BO5:BP5"/>
    <mergeCell ref="AY5:AZ5"/>
    <mergeCell ref="BA5:BB5"/>
    <mergeCell ref="BC5:BD5"/>
    <mergeCell ref="BE5:BF5"/>
    <mergeCell ref="BG5:BH5"/>
    <mergeCell ref="BI5:BJ5"/>
    <mergeCell ref="AU5:AV5"/>
    <mergeCell ref="AW5:AX5"/>
    <mergeCell ref="W6:X9"/>
    <mergeCell ref="Y6:Z9"/>
    <mergeCell ref="AA6:AB9"/>
    <mergeCell ref="AC10:AD10"/>
    <mergeCell ref="AE10:AF10"/>
    <mergeCell ref="AG10:AH10"/>
    <mergeCell ref="B6:G6"/>
    <mergeCell ref="H6:H9"/>
    <mergeCell ref="I6:J9"/>
    <mergeCell ref="K6:L9"/>
    <mergeCell ref="M6:N9"/>
    <mergeCell ref="O6:P9"/>
    <mergeCell ref="AE6:AF9"/>
    <mergeCell ref="AG6:AH9"/>
    <mergeCell ref="BY6:BZ9"/>
    <mergeCell ref="B8:G8"/>
    <mergeCell ref="BM6:BN9"/>
    <mergeCell ref="BO6:BP9"/>
    <mergeCell ref="BQ6:BR9"/>
    <mergeCell ref="BS6:BT9"/>
    <mergeCell ref="BU6:BV9"/>
    <mergeCell ref="BW6:BX9"/>
    <mergeCell ref="BA6:BB9"/>
    <mergeCell ref="BC6:BD9"/>
    <mergeCell ref="BE6:BF9"/>
    <mergeCell ref="BG6:BH9"/>
    <mergeCell ref="BI6:BJ9"/>
    <mergeCell ref="BK6:BL9"/>
    <mergeCell ref="AO6:AP9"/>
    <mergeCell ref="AQ6:AR9"/>
    <mergeCell ref="AS6:AT9"/>
    <mergeCell ref="AU6:AV9"/>
    <mergeCell ref="AW6:AX9"/>
    <mergeCell ref="AY6:AZ9"/>
    <mergeCell ref="AC6:AD9"/>
    <mergeCell ref="Q6:R9"/>
    <mergeCell ref="S6:T9"/>
    <mergeCell ref="U6:V9"/>
    <mergeCell ref="BW10:BX10"/>
    <mergeCell ref="BY10:BZ10"/>
    <mergeCell ref="CA10:CC10"/>
    <mergeCell ref="CD10:CI11"/>
    <mergeCell ref="BG10:BH10"/>
    <mergeCell ref="BI10:BJ10"/>
    <mergeCell ref="BK10:BL10"/>
    <mergeCell ref="BM10:BN10"/>
    <mergeCell ref="BO10:BP10"/>
    <mergeCell ref="BQ10:BR10"/>
    <mergeCell ref="C16:H16"/>
    <mergeCell ref="C17:H17"/>
    <mergeCell ref="C14:H14"/>
    <mergeCell ref="C15:H15"/>
    <mergeCell ref="C11:H11"/>
    <mergeCell ref="C12:H12"/>
    <mergeCell ref="C13:H13"/>
    <mergeCell ref="BS10:BT10"/>
    <mergeCell ref="BU10:BV10"/>
    <mergeCell ref="AU10:AV10"/>
    <mergeCell ref="AW10:AX10"/>
    <mergeCell ref="AY10:AZ10"/>
    <mergeCell ref="BA10:BB10"/>
    <mergeCell ref="BC10:BD10"/>
    <mergeCell ref="BE10:BF10"/>
    <mergeCell ref="AI10:AJ10"/>
    <mergeCell ref="AK10:AL10"/>
    <mergeCell ref="AM10:AN10"/>
    <mergeCell ref="AO10:AP10"/>
    <mergeCell ref="AQ10:AR10"/>
    <mergeCell ref="AS10:AT10"/>
    <mergeCell ref="W10:X10"/>
    <mergeCell ref="Y10:Z10"/>
    <mergeCell ref="AA10:AB10"/>
    <mergeCell ref="C26:H26"/>
    <mergeCell ref="C27:H27"/>
    <mergeCell ref="C24:H24"/>
    <mergeCell ref="C25:H25"/>
    <mergeCell ref="C22:H22"/>
    <mergeCell ref="C23:H23"/>
    <mergeCell ref="C20:H20"/>
    <mergeCell ref="C21:H21"/>
    <mergeCell ref="C18:H18"/>
    <mergeCell ref="C19:H19"/>
    <mergeCell ref="C36:H36"/>
    <mergeCell ref="C37:H37"/>
    <mergeCell ref="C34:H34"/>
    <mergeCell ref="C35:H35"/>
    <mergeCell ref="C32:H32"/>
    <mergeCell ref="C33:H33"/>
    <mergeCell ref="C30:H30"/>
    <mergeCell ref="C31:H31"/>
    <mergeCell ref="C28:H28"/>
    <mergeCell ref="C29:H29"/>
    <mergeCell ref="S39:T39"/>
    <mergeCell ref="U39:V39"/>
    <mergeCell ref="W39:X39"/>
    <mergeCell ref="Y39:Z39"/>
    <mergeCell ref="AA39:AB39"/>
    <mergeCell ref="AC39:AD39"/>
    <mergeCell ref="C38:H38"/>
    <mergeCell ref="C39:D39"/>
    <mergeCell ref="F39:G39"/>
    <mergeCell ref="W40:X41"/>
    <mergeCell ref="Y40:Z41"/>
    <mergeCell ref="AA40:AB41"/>
    <mergeCell ref="AC40:AD41"/>
    <mergeCell ref="AE40:AF41"/>
    <mergeCell ref="AG40:AH41"/>
    <mergeCell ref="CA39:CC40"/>
    <mergeCell ref="CD39:CI39"/>
    <mergeCell ref="B40:H41"/>
    <mergeCell ref="I40:J41"/>
    <mergeCell ref="K40:L41"/>
    <mergeCell ref="M40:N41"/>
    <mergeCell ref="O40:P41"/>
    <mergeCell ref="Q40:R41"/>
    <mergeCell ref="S40:T41"/>
    <mergeCell ref="U40:V41"/>
    <mergeCell ref="BO39:BP39"/>
    <mergeCell ref="BQ39:BR39"/>
    <mergeCell ref="BS39:BT39"/>
    <mergeCell ref="BU39:BV39"/>
    <mergeCell ref="BW39:BX39"/>
    <mergeCell ref="BY39:BZ39"/>
    <mergeCell ref="BC39:BD39"/>
    <mergeCell ref="BE39:BF39"/>
    <mergeCell ref="AU40:AV41"/>
    <mergeCell ref="AW40:AX41"/>
    <mergeCell ref="AY40:AZ41"/>
    <mergeCell ref="BA40:BB41"/>
    <mergeCell ref="BC40:BD41"/>
    <mergeCell ref="BE40:BF41"/>
    <mergeCell ref="AI40:AJ41"/>
    <mergeCell ref="AK40:AL41"/>
    <mergeCell ref="AM40:AN41"/>
    <mergeCell ref="AO40:AP41"/>
    <mergeCell ref="AQ40:AR41"/>
    <mergeCell ref="AS40:AT41"/>
    <mergeCell ref="BS40:BT41"/>
    <mergeCell ref="BU40:BV41"/>
    <mergeCell ref="BW40:BX41"/>
    <mergeCell ref="BY40:BZ41"/>
    <mergeCell ref="CD40:CI40"/>
    <mergeCell ref="CA41:CC41"/>
    <mergeCell ref="BG40:BH41"/>
    <mergeCell ref="BI40:BJ41"/>
    <mergeCell ref="BK40:BL41"/>
    <mergeCell ref="BM40:BN41"/>
    <mergeCell ref="BO40:BP41"/>
    <mergeCell ref="BQ40:BR41"/>
    <mergeCell ref="S42:T49"/>
    <mergeCell ref="U42:V49"/>
    <mergeCell ref="W42:X49"/>
    <mergeCell ref="Y42:Z49"/>
    <mergeCell ref="AA42:AB49"/>
    <mergeCell ref="AC42:AD49"/>
    <mergeCell ref="B42:H53"/>
    <mergeCell ref="I42:J49"/>
    <mergeCell ref="K42:L49"/>
    <mergeCell ref="M42:N49"/>
    <mergeCell ref="O42:P49"/>
    <mergeCell ref="Q42:R49"/>
    <mergeCell ref="I50:J53"/>
    <mergeCell ref="K50:L53"/>
    <mergeCell ref="M50:N53"/>
    <mergeCell ref="O50:P53"/>
    <mergeCell ref="Q50:R53"/>
    <mergeCell ref="S50:T53"/>
    <mergeCell ref="U50:V53"/>
    <mergeCell ref="W50:X53"/>
    <mergeCell ref="Y50:Z53"/>
    <mergeCell ref="AA50:AB53"/>
    <mergeCell ref="AC50:AD53"/>
    <mergeCell ref="AQ42:AR49"/>
    <mergeCell ref="AM50:AN53"/>
    <mergeCell ref="AO50:AP53"/>
    <mergeCell ref="AQ50:AR53"/>
    <mergeCell ref="AS50:AT53"/>
    <mergeCell ref="AU50:AV53"/>
    <mergeCell ref="CA42:CC42"/>
    <mergeCell ref="CA43:CC43"/>
    <mergeCell ref="CA44:CC44"/>
    <mergeCell ref="CA45:CC45"/>
    <mergeCell ref="CA46:CC46"/>
    <mergeCell ref="CA47:CC47"/>
    <mergeCell ref="BO42:BP49"/>
    <mergeCell ref="BQ42:BR49"/>
    <mergeCell ref="BS42:BT49"/>
    <mergeCell ref="BU42:BV49"/>
    <mergeCell ref="BW42:BX49"/>
    <mergeCell ref="BY42:BZ49"/>
    <mergeCell ref="CA50:CC50"/>
    <mergeCell ref="CD47:CI47"/>
    <mergeCell ref="CA48:CC48"/>
    <mergeCell ref="CD48:CI48"/>
    <mergeCell ref="CA49:CC49"/>
    <mergeCell ref="CD49:CI49"/>
    <mergeCell ref="AS42:AT49"/>
    <mergeCell ref="AU42:AV49"/>
    <mergeCell ref="AW42:AX49"/>
    <mergeCell ref="AY42:AZ49"/>
    <mergeCell ref="BA42:BB49"/>
    <mergeCell ref="BC42:BD49"/>
    <mergeCell ref="BE42:BF49"/>
    <mergeCell ref="BG42:BH49"/>
    <mergeCell ref="BI42:BJ49"/>
    <mergeCell ref="BK42:BL49"/>
    <mergeCell ref="BM42:BN49"/>
    <mergeCell ref="AE42:AF49"/>
    <mergeCell ref="AG42:AH49"/>
    <mergeCell ref="AI42:AJ49"/>
    <mergeCell ref="AK42:AL49"/>
    <mergeCell ref="AM42:AN49"/>
    <mergeCell ref="AO42:AP49"/>
    <mergeCell ref="CH4:CI4"/>
    <mergeCell ref="I10:J10"/>
    <mergeCell ref="K10:L10"/>
    <mergeCell ref="M10:N10"/>
    <mergeCell ref="O10:P10"/>
    <mergeCell ref="Q10:R10"/>
    <mergeCell ref="S10:T10"/>
    <mergeCell ref="U10:V10"/>
    <mergeCell ref="CA5:CC5"/>
    <mergeCell ref="CD5:CE5"/>
    <mergeCell ref="CA11:CC11"/>
    <mergeCell ref="CA12:CC12"/>
    <mergeCell ref="CA13:CC13"/>
    <mergeCell ref="CA14:CC14"/>
    <mergeCell ref="CA15:CC15"/>
    <mergeCell ref="BG39:BH39"/>
    <mergeCell ref="BI39:BJ39"/>
    <mergeCell ref="BK39:BL39"/>
    <mergeCell ref="CD50:CI50"/>
    <mergeCell ref="BO50:BP53"/>
    <mergeCell ref="BQ50:BR53"/>
    <mergeCell ref="BS50:BT53"/>
    <mergeCell ref="BU50:BV53"/>
    <mergeCell ref="BW50:BX53"/>
    <mergeCell ref="BY50:BZ53"/>
    <mergeCell ref="BC50:BD53"/>
    <mergeCell ref="BE50:BF53"/>
    <mergeCell ref="BG50:BH53"/>
    <mergeCell ref="BI50:BJ53"/>
    <mergeCell ref="BK50:BL53"/>
    <mergeCell ref="BM50:BN53"/>
    <mergeCell ref="AS39:AT39"/>
    <mergeCell ref="AU39:AV39"/>
    <mergeCell ref="AW39:AX39"/>
    <mergeCell ref="AY39:AZ39"/>
    <mergeCell ref="BA39:BB39"/>
    <mergeCell ref="AE39:AF39"/>
    <mergeCell ref="AG39:AH39"/>
    <mergeCell ref="AI39:AJ39"/>
    <mergeCell ref="AK39:AL39"/>
    <mergeCell ref="AM39:AN39"/>
    <mergeCell ref="AO39:AP39"/>
    <mergeCell ref="CD12:CI12"/>
    <mergeCell ref="CD13:CI13"/>
    <mergeCell ref="CD14:CI14"/>
    <mergeCell ref="CD15:CI15"/>
    <mergeCell ref="CD16:CI16"/>
    <mergeCell ref="CA28:CC28"/>
    <mergeCell ref="CA29:CC29"/>
    <mergeCell ref="CA30:CC30"/>
    <mergeCell ref="CA31:CC31"/>
    <mergeCell ref="CA22:CC22"/>
    <mergeCell ref="CA23:CC23"/>
    <mergeCell ref="CA24:CC24"/>
    <mergeCell ref="CA25:CC25"/>
    <mergeCell ref="CA26:CC26"/>
    <mergeCell ref="CA27:CC27"/>
    <mergeCell ref="CA16:CC16"/>
    <mergeCell ref="CA17:CC17"/>
    <mergeCell ref="CA18:CC18"/>
    <mergeCell ref="CA19:CC19"/>
    <mergeCell ref="CA20:CC20"/>
    <mergeCell ref="CA21:CC21"/>
    <mergeCell ref="CD17:CI17"/>
    <mergeCell ref="CD18:CI18"/>
    <mergeCell ref="CD19:CI19"/>
    <mergeCell ref="CD20:CI20"/>
    <mergeCell ref="CD21:CI21"/>
    <mergeCell ref="CD22:CI22"/>
    <mergeCell ref="CA34:CC34"/>
    <mergeCell ref="CA35:CC35"/>
    <mergeCell ref="CA36:CC36"/>
    <mergeCell ref="CA32:CC32"/>
    <mergeCell ref="CA33:CC33"/>
    <mergeCell ref="CD29:CI29"/>
    <mergeCell ref="CD30:CI30"/>
    <mergeCell ref="CD31:CI31"/>
    <mergeCell ref="CD32:CI32"/>
    <mergeCell ref="CD33:CI33"/>
    <mergeCell ref="CD34:CI34"/>
    <mergeCell ref="CD23:CI23"/>
    <mergeCell ref="CD24:CI24"/>
    <mergeCell ref="CD25:CI25"/>
    <mergeCell ref="CD26:CI26"/>
    <mergeCell ref="CD27:CI27"/>
    <mergeCell ref="CD28:CI28"/>
    <mergeCell ref="CD35:CI35"/>
    <mergeCell ref="CD36:CI36"/>
    <mergeCell ref="CD37:CI37"/>
    <mergeCell ref="CD38:CI38"/>
    <mergeCell ref="CA53:CC53"/>
    <mergeCell ref="I39:J39"/>
    <mergeCell ref="K39:L39"/>
    <mergeCell ref="M39:N39"/>
    <mergeCell ref="O39:P39"/>
    <mergeCell ref="Q39:R39"/>
    <mergeCell ref="CA37:CC37"/>
    <mergeCell ref="CA38:CC38"/>
    <mergeCell ref="CD53:CI53"/>
    <mergeCell ref="CA51:CC51"/>
    <mergeCell ref="CD51:CI51"/>
    <mergeCell ref="CA52:CC52"/>
    <mergeCell ref="CD52:CI52"/>
    <mergeCell ref="AW50:AX53"/>
    <mergeCell ref="AY50:AZ53"/>
    <mergeCell ref="BA50:BB53"/>
    <mergeCell ref="AE50:AF53"/>
    <mergeCell ref="AG50:AH53"/>
    <mergeCell ref="AI50:AJ53"/>
    <mergeCell ref="AK50:AL53"/>
    <mergeCell ref="BM39:BN39"/>
    <mergeCell ref="AQ39:AR39"/>
  </mergeCells>
  <conditionalFormatting sqref="B4:CI4 I10:BZ10 C12:H38 CD12:CD38 I42 K42 M42 O42 Q42 S42 U42 W42 Y42 AA42 AC42 AE42 AG42 AI42 AK42 AM42 AO42 AQ42 AS42 AU42 AW42 AY42 BA42 BC42 BE42 BG42 BI42 BK42 BM42 BO42 BQ42 BS42 BU42 BW42 BY42 CD42:CI43 CD45:CI46 I50 K50 M50 O50 Q50 S50 U50 W50 Y50 AA50 AC50 AE50 AG50 AI50 AK50 AM50 AO50 AQ50 AS50 AU50 AW50 AY50 BA50 BC50 BE50 BG50 BI50 BK50 BM50 BO50 BQ50 BS50 BU50 BW50 BY50">
    <cfRule type="cellIs" dxfId="4" priority="8" operator="lessThan">
      <formula>1</formula>
    </cfRule>
  </conditionalFormatting>
  <conditionalFormatting sqref="G7">
    <cfRule type="cellIs" dxfId="3" priority="6" operator="lessThan">
      <formula>1</formula>
    </cfRule>
    <cfRule type="cellIs" dxfId="2" priority="7" operator="greaterThanOrEqual">
      <formula>1</formula>
    </cfRule>
  </conditionalFormatting>
  <conditionalFormatting sqref="I39:BZ39">
    <cfRule type="cellIs" dxfId="1" priority="2" operator="equal">
      <formula>"X"</formula>
    </cfRule>
  </conditionalFormatting>
  <conditionalFormatting sqref="CA12:CC38">
    <cfRule type="cellIs" dxfId="0" priority="5" operator="equal">
      <formula>"X"</formula>
    </cfRule>
  </conditionalFormatting>
  <pageMargins left="0.7" right="0.7" top="0.75" bottom="0.75" header="0.3" footer="0.3"/>
  <pageSetup orientation="landscape" r:id="rId1"/>
  <drawing r:id="rId2"/>
  <extLst>
    <ext xmlns:x14="http://schemas.microsoft.com/office/spreadsheetml/2009/9/main" uri="{78C0D931-6437-407d-A8EE-F0AAD7539E65}">
      <x14:conditionalFormattings>
        <x14:conditionalFormatting xmlns:xm="http://schemas.microsoft.com/office/excel/2006/main">
          <x14:cfRule type="iconSet" priority="1" id="{7750C0AC-1587-40A9-BF9F-EB4D48368D96}">
            <x14:iconSet custom="1">
              <x14:cfvo type="percent">
                <xm:f>0</xm:f>
              </x14:cfvo>
              <x14:cfvo type="num" gte="0">
                <xm:f>0</xm:f>
              </x14:cfvo>
              <x14:cfvo type="num">
                <xm:f>0</xm:f>
              </x14:cfvo>
              <x14:cfIcon iconSet="NoIcons" iconId="0"/>
              <x14:cfIcon iconSet="3Symbols2" iconId="0"/>
              <x14:cfIcon iconSet="5Quarters" iconId="0"/>
            </x14:iconSet>
          </x14:cfRule>
          <xm:sqref>I39:BZ39</xm:sqref>
        </x14:conditionalFormatting>
        <x14:conditionalFormatting xmlns:xm="http://schemas.microsoft.com/office/excel/2006/main">
          <x14:cfRule type="iconSet" priority="4" id="{F7B77780-B384-41D9-9382-C713C51424AB}">
            <x14:iconSet custom="1">
              <x14:cfvo type="percent">
                <xm:f>0</xm:f>
              </x14:cfvo>
              <x14:cfvo type="num" gte="0">
                <xm:f>0</xm:f>
              </x14:cfvo>
              <x14:cfvo type="num">
                <xm:f>3</xm:f>
              </x14:cfvo>
              <x14:cfIcon iconSet="NoIcons" iconId="0"/>
              <x14:cfIcon iconSet="3Symbols2" iconId="0"/>
              <x14:cfIcon iconSet="5Quarters" iconId="0"/>
            </x14:iconSet>
          </x14:cfRule>
          <xm:sqref>CA12:CC38</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PAT Mensual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Office</cp:lastModifiedBy>
  <cp:lastPrinted>2024-11-28T03:16:07Z</cp:lastPrinted>
  <dcterms:created xsi:type="dcterms:W3CDTF">2024-11-27T19:16:24Z</dcterms:created>
  <dcterms:modified xsi:type="dcterms:W3CDTF">2025-05-21T20:18:48Z</dcterms:modified>
</cp:coreProperties>
</file>